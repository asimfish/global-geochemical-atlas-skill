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S1214\PhD WAIS\Citing papers - PSP\First author\Paper 2 - Chaspit\For submission\"/>
    </mc:Choice>
  </mc:AlternateContent>
  <bookViews>
    <workbookView xWindow="0" yWindow="0" windowWidth="23040" windowHeight="9408" activeTab="1"/>
  </bookViews>
  <sheets>
    <sheet name="Appendix Table 1" sheetId="16" r:id="rId1"/>
    <sheet name="Appendix Table 2" sheetId="20" r:id="rId2"/>
  </sheets>
  <definedNames>
    <definedName name="gaus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30" i="16" l="1"/>
  <c r="BQ29" i="16"/>
  <c r="BQ28" i="16"/>
  <c r="BQ24" i="16"/>
  <c r="BQ23" i="16"/>
  <c r="BQ22" i="16"/>
  <c r="BQ21" i="16"/>
  <c r="BQ20" i="16"/>
  <c r="BQ17" i="16"/>
  <c r="BQ16" i="16"/>
  <c r="BQ15" i="16"/>
  <c r="BQ12" i="16"/>
  <c r="BQ11" i="16"/>
  <c r="BQ13" i="16"/>
  <c r="BQ9" i="16"/>
  <c r="BQ8" i="16"/>
  <c r="BQ7" i="16"/>
  <c r="BQ6" i="16"/>
  <c r="BQ5" i="16"/>
  <c r="BP30" i="16"/>
  <c r="BP29" i="16"/>
  <c r="BP28" i="16"/>
  <c r="BP24" i="16"/>
  <c r="BP23" i="16"/>
  <c r="BP22" i="16"/>
  <c r="BP21" i="16"/>
  <c r="BP20" i="16"/>
  <c r="BP17" i="16"/>
  <c r="BP16" i="16"/>
  <c r="BP15" i="16"/>
  <c r="BP12" i="16"/>
  <c r="BP11" i="16"/>
  <c r="BP13" i="16"/>
  <c r="BP9" i="16"/>
  <c r="BP8" i="16"/>
  <c r="BP7" i="16"/>
  <c r="BP6" i="16"/>
  <c r="BP5" i="16"/>
</calcChain>
</file>

<file path=xl/sharedStrings.xml><?xml version="1.0" encoding="utf-8"?>
<sst xmlns="http://schemas.openxmlformats.org/spreadsheetml/2006/main" count="870" uniqueCount="345">
  <si>
    <t>Number</t>
  </si>
  <si>
    <t>Latitude</t>
  </si>
  <si>
    <t>Longitude</t>
  </si>
  <si>
    <t>Water depth (m)</t>
  </si>
  <si>
    <r>
      <rPr>
        <b/>
        <vertAlign val="superscript"/>
        <sz val="11"/>
        <color theme="1"/>
        <rFont val="Calibri"/>
        <family val="2"/>
        <scheme val="minor"/>
      </rPr>
      <t>143</t>
    </r>
    <r>
      <rPr>
        <b/>
        <sz val="11"/>
        <color theme="1"/>
        <rFont val="Calibri"/>
        <family val="2"/>
        <scheme val="minor"/>
      </rPr>
      <t>Nd/</t>
    </r>
    <r>
      <rPr>
        <b/>
        <vertAlign val="superscript"/>
        <sz val="11"/>
        <color theme="1"/>
        <rFont val="Calibri"/>
        <family val="2"/>
        <scheme val="minor"/>
      </rPr>
      <t>144</t>
    </r>
    <r>
      <rPr>
        <b/>
        <sz val="11"/>
        <color theme="1"/>
        <rFont val="Calibri"/>
        <family val="2"/>
        <scheme val="minor"/>
      </rPr>
      <t>Nd</t>
    </r>
  </si>
  <si>
    <r>
      <rPr>
        <b/>
        <vertAlign val="superscript"/>
        <sz val="11"/>
        <color theme="1"/>
        <rFont val="Calibri"/>
        <family val="2"/>
        <scheme val="minor"/>
      </rPr>
      <t>87</t>
    </r>
    <r>
      <rPr>
        <b/>
        <sz val="11"/>
        <color theme="1"/>
        <rFont val="Calibri"/>
        <family val="2"/>
        <scheme val="minor"/>
      </rPr>
      <t>Sr/</t>
    </r>
    <r>
      <rPr>
        <b/>
        <vertAlign val="superscript"/>
        <sz val="11"/>
        <color theme="1"/>
        <rFont val="Calibri"/>
        <family val="2"/>
        <scheme val="minor"/>
      </rPr>
      <t>86</t>
    </r>
    <r>
      <rPr>
        <b/>
        <sz val="11"/>
        <color theme="1"/>
        <rFont val="Calibri"/>
        <family val="2"/>
        <scheme val="minor"/>
      </rPr>
      <t>Sr</t>
    </r>
  </si>
  <si>
    <t>PC</t>
  </si>
  <si>
    <t>GC</t>
  </si>
  <si>
    <t>17-22</t>
  </si>
  <si>
    <t>0-1</t>
  </si>
  <si>
    <t>0-2</t>
  </si>
  <si>
    <t>BC</t>
  </si>
  <si>
    <t>5</t>
  </si>
  <si>
    <t>9-14</t>
  </si>
  <si>
    <t>Ill(%)</t>
  </si>
  <si>
    <t>Sme(%)</t>
  </si>
  <si>
    <t>Kln(%)</t>
  </si>
  <si>
    <t>Chl(%)</t>
  </si>
  <si>
    <t>NBP99-02 53PC</t>
  </si>
  <si>
    <t>24-29</t>
  </si>
  <si>
    <t>PerC</t>
  </si>
  <si>
    <t>Surface</t>
  </si>
  <si>
    <t>grab</t>
  </si>
  <si>
    <t>2 S.E.</t>
  </si>
  <si>
    <t>ARM[mA/m]</t>
  </si>
  <si>
    <t>(S)IRM[mA/m]@700mT</t>
  </si>
  <si>
    <t>IRM[mA/m]@100mT</t>
  </si>
  <si>
    <t>IRM[mA/m]@300mT</t>
  </si>
  <si>
    <t>HIRM[mA/m]</t>
  </si>
  <si>
    <t>MDFarm[mT]</t>
  </si>
  <si>
    <t>kARM[10E-6 SI]</t>
  </si>
  <si>
    <t>ARM_100mT/IRM_100mT</t>
  </si>
  <si>
    <t>S-ratio</t>
  </si>
  <si>
    <t>Ca/K</t>
  </si>
  <si>
    <t>Cl/K</t>
  </si>
  <si>
    <t>Age (Ma)</t>
  </si>
  <si>
    <t>30427-01A</t>
  </si>
  <si>
    <t>PS69-291-1-6cm</t>
  </si>
  <si>
    <t>30429-04A</t>
  </si>
  <si>
    <t>PS69-291-1-7cm</t>
  </si>
  <si>
    <t>30432-07A</t>
  </si>
  <si>
    <t>PS69-291-1-9cm</t>
  </si>
  <si>
    <t>30432-04A</t>
  </si>
  <si>
    <t>30432-06A</t>
  </si>
  <si>
    <t>30426-02A</t>
  </si>
  <si>
    <t>PS69-291-1-5cm</t>
  </si>
  <si>
    <t>30426-01A</t>
  </si>
  <si>
    <t>30432-02A</t>
  </si>
  <si>
    <t>30432-05A</t>
  </si>
  <si>
    <t>30429-01A</t>
  </si>
  <si>
    <t>30432-01A</t>
  </si>
  <si>
    <t>30432-08A</t>
  </si>
  <si>
    <t>30427-03A</t>
  </si>
  <si>
    <t>30431-03A</t>
  </si>
  <si>
    <t>PS69-291-1-8cm</t>
  </si>
  <si>
    <t>30427-04A</t>
  </si>
  <si>
    <t>30431-02A</t>
  </si>
  <si>
    <t>30432-03A</t>
  </si>
  <si>
    <t>30427-02A</t>
  </si>
  <si>
    <t>30434-04A</t>
  </si>
  <si>
    <t>PS69-295-1-3cm</t>
  </si>
  <si>
    <t>30438-10A</t>
  </si>
  <si>
    <t>PS69-295-1-6cm</t>
  </si>
  <si>
    <t>30437-02A</t>
  </si>
  <si>
    <t>PS69-295-1-5cm</t>
  </si>
  <si>
    <t>30438-03A</t>
  </si>
  <si>
    <t>30433-02A</t>
  </si>
  <si>
    <t>PS69-295-1-2cm</t>
  </si>
  <si>
    <t>30434-01A</t>
  </si>
  <si>
    <t>30434-05A</t>
  </si>
  <si>
    <t>30437-03A</t>
  </si>
  <si>
    <t>30438-08A</t>
  </si>
  <si>
    <t>30438-02A</t>
  </si>
  <si>
    <t>30433-01A</t>
  </si>
  <si>
    <t>30437-05A</t>
  </si>
  <si>
    <t>30438-01A</t>
  </si>
  <si>
    <t>30438-06A</t>
  </si>
  <si>
    <t>30437-04A</t>
  </si>
  <si>
    <t>30434-03A</t>
  </si>
  <si>
    <t>30437-01A</t>
  </si>
  <si>
    <t>30438-09A</t>
  </si>
  <si>
    <t>30433-03A</t>
  </si>
  <si>
    <t>30438-05A</t>
  </si>
  <si>
    <t>30436-01A</t>
  </si>
  <si>
    <t>PS69-295-1-4cm</t>
  </si>
  <si>
    <t>30438-07A</t>
  </si>
  <si>
    <t>30436-03A</t>
  </si>
  <si>
    <t>30438-04A</t>
  </si>
  <si>
    <t>30434-02A</t>
  </si>
  <si>
    <t>30437-06A</t>
  </si>
  <si>
    <t>30437-07A</t>
  </si>
  <si>
    <t>30445-03A</t>
  </si>
  <si>
    <t>PS75-173-1-7cm</t>
  </si>
  <si>
    <t>30442-02A</t>
  </si>
  <si>
    <t>PS75-173-1-5cm</t>
  </si>
  <si>
    <t>30444-01A</t>
  </si>
  <si>
    <t>PS75-173-1-6cm</t>
  </si>
  <si>
    <t>30444-04A</t>
  </si>
  <si>
    <t>30440-04A</t>
  </si>
  <si>
    <t>PS75-173-1-3cm</t>
  </si>
  <si>
    <t>30440-06A</t>
  </si>
  <si>
    <t>30444-05A</t>
  </si>
  <si>
    <t>30440-03A</t>
  </si>
  <si>
    <t>30441-01A</t>
  </si>
  <si>
    <t>PS75-173-1-4cm</t>
  </si>
  <si>
    <t>30442-01A</t>
  </si>
  <si>
    <t>30445-01A</t>
  </si>
  <si>
    <t>30444-02A</t>
  </si>
  <si>
    <t>30445-02A</t>
  </si>
  <si>
    <t>30440-01A</t>
  </si>
  <si>
    <t>30441-02A</t>
  </si>
  <si>
    <t>30440-02A</t>
  </si>
  <si>
    <t>30440-05A</t>
  </si>
  <si>
    <t>30446-10A</t>
  </si>
  <si>
    <t>PS75-177-1-4cm</t>
  </si>
  <si>
    <t>30447-03A</t>
  </si>
  <si>
    <t>PS75-177-1-5cm</t>
  </si>
  <si>
    <t>30447-07A</t>
  </si>
  <si>
    <t>30447-24A</t>
  </si>
  <si>
    <t>30447-13A</t>
  </si>
  <si>
    <t>30447-18A</t>
  </si>
  <si>
    <t>30446-05A</t>
  </si>
  <si>
    <t>30447-20A</t>
  </si>
  <si>
    <t>30446-01A</t>
  </si>
  <si>
    <t>30447-17A</t>
  </si>
  <si>
    <t>30447-08A</t>
  </si>
  <si>
    <t>30446-08A</t>
  </si>
  <si>
    <t>30447-05A</t>
  </si>
  <si>
    <t>30446-07A</t>
  </si>
  <si>
    <t>30447-21A</t>
  </si>
  <si>
    <t>30446-12A</t>
  </si>
  <si>
    <t>30447-02A</t>
  </si>
  <si>
    <t>30447-12A</t>
  </si>
  <si>
    <t>30447-22A</t>
  </si>
  <si>
    <t>30447-23A</t>
  </si>
  <si>
    <t>30447-01A</t>
  </si>
  <si>
    <t>30447-14A</t>
  </si>
  <si>
    <t>30446-02A</t>
  </si>
  <si>
    <t>30447-09A</t>
  </si>
  <si>
    <t>30446-04A</t>
  </si>
  <si>
    <t>30447-15A</t>
  </si>
  <si>
    <t>30446-06A</t>
  </si>
  <si>
    <t>30446-03A</t>
  </si>
  <si>
    <t>30447-19A</t>
  </si>
  <si>
    <t>30447-16A</t>
  </si>
  <si>
    <t>30446-09A</t>
  </si>
  <si>
    <t>30447-04A</t>
  </si>
  <si>
    <t>30447-10A</t>
  </si>
  <si>
    <t>30446-11A</t>
  </si>
  <si>
    <t>30448-26A</t>
  </si>
  <si>
    <t>PS104-009-1-6cm</t>
  </si>
  <si>
    <t>30448-25A</t>
  </si>
  <si>
    <t>30448-13A</t>
  </si>
  <si>
    <t>30448-21A</t>
  </si>
  <si>
    <t>30448-03A</t>
  </si>
  <si>
    <t>30448-22A</t>
  </si>
  <si>
    <t>30448-23A</t>
  </si>
  <si>
    <t>30448-08A</t>
  </si>
  <si>
    <t>30448-36A</t>
  </si>
  <si>
    <t>30448-05A</t>
  </si>
  <si>
    <t>30448-01A</t>
  </si>
  <si>
    <t>30448-04A</t>
  </si>
  <si>
    <t>30448-16A</t>
  </si>
  <si>
    <t>30448-06A</t>
  </si>
  <si>
    <t>30448-19A</t>
  </si>
  <si>
    <t>30448-15A</t>
  </si>
  <si>
    <t>30448-37A</t>
  </si>
  <si>
    <t>30448-09A</t>
  </si>
  <si>
    <t>30448-02A</t>
  </si>
  <si>
    <t>30448-12A</t>
  </si>
  <si>
    <t>30448-35A</t>
  </si>
  <si>
    <t>30448-28A</t>
  </si>
  <si>
    <t>30448-07A</t>
  </si>
  <si>
    <t>30448-27A</t>
  </si>
  <si>
    <t>30448-33A</t>
  </si>
  <si>
    <t>30448-14A</t>
  </si>
  <si>
    <t>30448-34A</t>
  </si>
  <si>
    <t>30448-17A</t>
  </si>
  <si>
    <t>30448-10A</t>
  </si>
  <si>
    <t>12936-13</t>
  </si>
  <si>
    <t>12936-14</t>
  </si>
  <si>
    <t>12936-17</t>
  </si>
  <si>
    <t>12936-09</t>
  </si>
  <si>
    <t>12936-11</t>
  </si>
  <si>
    <t>12936-23</t>
  </si>
  <si>
    <t>12936-18</t>
  </si>
  <si>
    <t>12936-05</t>
  </si>
  <si>
    <t>12936-10</t>
  </si>
  <si>
    <t>12936-07</t>
  </si>
  <si>
    <t>12936-02</t>
  </si>
  <si>
    <t>12936-22</t>
  </si>
  <si>
    <t>12936-01</t>
  </si>
  <si>
    <t>12936-20</t>
  </si>
  <si>
    <t>12936-04</t>
  </si>
  <si>
    <t>12936-24</t>
  </si>
  <si>
    <t>12936-08</t>
  </si>
  <si>
    <t>12936-06</t>
  </si>
  <si>
    <t>12936-16</t>
  </si>
  <si>
    <t>12936-12</t>
  </si>
  <si>
    <t>12936-25</t>
  </si>
  <si>
    <t>12936-19</t>
  </si>
  <si>
    <t>12936-15</t>
  </si>
  <si>
    <t>12936-03</t>
  </si>
  <si>
    <t>12936-21</t>
  </si>
  <si>
    <t>Hornblende</t>
  </si>
  <si>
    <t>Biotite</t>
  </si>
  <si>
    <t>Na2O</t>
  </si>
  <si>
    <t>MgO</t>
  </si>
  <si>
    <t>Al2O3</t>
  </si>
  <si>
    <t>P2O5</t>
  </si>
  <si>
    <t>K2O</t>
  </si>
  <si>
    <t>CaO</t>
  </si>
  <si>
    <t>TiO2</t>
  </si>
  <si>
    <t>MnO</t>
  </si>
  <si>
    <t>Fe2O3</t>
  </si>
  <si>
    <t>Li</t>
  </si>
  <si>
    <t>Sc</t>
  </si>
  <si>
    <t>S</t>
  </si>
  <si>
    <t>Ti</t>
  </si>
  <si>
    <t>V</t>
  </si>
  <si>
    <t>Cr</t>
  </si>
  <si>
    <t>Co</t>
  </si>
  <si>
    <t>Ni</t>
  </si>
  <si>
    <t>Cu</t>
  </si>
  <si>
    <t>Zn</t>
  </si>
  <si>
    <t>Rb</t>
  </si>
  <si>
    <t>Sr</t>
  </si>
  <si>
    <t>Y</t>
  </si>
  <si>
    <t>Zr</t>
  </si>
  <si>
    <t>Nb</t>
  </si>
  <si>
    <t>Mo</t>
  </si>
  <si>
    <t>Sn</t>
  </si>
  <si>
    <t>Sb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</si>
  <si>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</si>
  <si>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</si>
  <si>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</si>
  <si>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</si>
  <si>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</si>
  <si>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</si>
  <si>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</si>
  <si>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</si>
  <si>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</si>
  <si>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</si>
  <si>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</si>
  <si>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</si>
  <si>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Ta</t>
  </si>
  <si>
    <t>Er</t>
  </si>
  <si>
    <t>Yb</t>
  </si>
  <si>
    <t>Lu</t>
  </si>
  <si>
    <t>Hf</t>
  </si>
  <si>
    <t>Tl</t>
  </si>
  <si>
    <t>Pb</t>
  </si>
  <si>
    <t>Th</t>
  </si>
  <si>
    <t>U</t>
  </si>
  <si>
    <t>ANT-XXIII/4</t>
  </si>
  <si>
    <t>ANT-XXIII/3</t>
  </si>
  <si>
    <t>ANT-XXVI/3</t>
  </si>
  <si>
    <t>ANT-XXXII/3</t>
  </si>
  <si>
    <t xml:space="preserve">NBP99-02 </t>
  </si>
  <si>
    <t xml:space="preserve">NBP00-01 </t>
  </si>
  <si>
    <t xml:space="preserve">NBP07-02 </t>
  </si>
  <si>
    <t>Core depth [cm]</t>
  </si>
  <si>
    <t>Cruise expedition</t>
  </si>
  <si>
    <t>Geographical area</t>
  </si>
  <si>
    <r>
      <rPr>
        <b/>
        <sz val="11"/>
        <color theme="1"/>
        <rFont val="Calibri"/>
        <family val="2"/>
      </rPr>
      <t>ε</t>
    </r>
    <r>
      <rPr>
        <b/>
        <sz val="11"/>
        <color theme="1"/>
        <rFont val="Calibri"/>
        <family val="2"/>
        <scheme val="minor"/>
      </rPr>
      <t>Nd</t>
    </r>
  </si>
  <si>
    <t>n.a.</t>
  </si>
  <si>
    <t>eastern PIB</t>
  </si>
  <si>
    <t>central PIB</t>
  </si>
  <si>
    <t>western PIB</t>
  </si>
  <si>
    <t>Reference</t>
  </si>
  <si>
    <t>JR179</t>
  </si>
  <si>
    <t>NBP9902</t>
  </si>
  <si>
    <t>Isotopic</t>
  </si>
  <si>
    <t>Lab. No.</t>
  </si>
  <si>
    <t>Core name</t>
  </si>
  <si>
    <r>
      <t xml:space="preserve">Mol </t>
    </r>
    <r>
      <rPr>
        <vertAlign val="superscript"/>
        <sz val="10"/>
        <rFont val="Arial"/>
        <family val="2"/>
      </rPr>
      <t>39</t>
    </r>
    <r>
      <rPr>
        <sz val="10"/>
        <rFont val="Arial"/>
        <family val="2"/>
      </rPr>
      <t>Ar</t>
    </r>
  </si>
  <si>
    <r>
      <t>%</t>
    </r>
    <r>
      <rPr>
        <vertAlign val="superscript"/>
        <sz val="10"/>
        <rFont val="Arial"/>
        <family val="2"/>
      </rPr>
      <t>40</t>
    </r>
    <r>
      <rPr>
        <sz val="10"/>
        <rFont val="Arial"/>
        <family val="2"/>
      </rPr>
      <t>Ar*</t>
    </r>
  </si>
  <si>
    <t>±</t>
  </si>
  <si>
    <t>18843-01A</t>
  </si>
  <si>
    <r>
      <t>Sim</t>
    </r>
    <r>
      <rPr>
        <sz val="11"/>
        <color theme="1"/>
        <rFont val="Calibri"/>
        <family val="2"/>
      </rPr>
      <t>õ</t>
    </r>
    <r>
      <rPr>
        <sz val="11"/>
        <color theme="1"/>
        <rFont val="Calibri"/>
        <family val="2"/>
        <scheme val="minor"/>
      </rPr>
      <t>es Pereira et al., 2018</t>
    </r>
  </si>
  <si>
    <t>18850-09A</t>
  </si>
  <si>
    <t>18850-03A</t>
  </si>
  <si>
    <t>18850-26A</t>
  </si>
  <si>
    <t>18850-05A</t>
  </si>
  <si>
    <t>18850-08A</t>
  </si>
  <si>
    <t>18850-23A</t>
  </si>
  <si>
    <t>18850-04A</t>
  </si>
  <si>
    <t>18850-25A</t>
  </si>
  <si>
    <t>18850-10A</t>
  </si>
  <si>
    <t>Appendix Table 2: Complete results of 40Ar/39Ar dating of biotite grains from the ice-rafted (&gt;150μm or &gt;63μm) fraction of glacial-marine surface sediments in Pine Island Bay</t>
  </si>
  <si>
    <t>PS75/159-1 0-1cm</t>
  </si>
  <si>
    <t>NBP99-02 53PC 24-29cm</t>
  </si>
  <si>
    <t>PS75/168-1 0-1cm</t>
  </si>
  <si>
    <t>Mineral</t>
  </si>
  <si>
    <t>Major elements</t>
  </si>
  <si>
    <t>Trace elements</t>
  </si>
  <si>
    <t>Clay mineral assemblages</t>
  </si>
  <si>
    <t>Rock magnetic investigations</t>
  </si>
  <si>
    <t>Description</t>
  </si>
  <si>
    <t>2SD</t>
  </si>
  <si>
    <t xml:space="preserve">Appendix Table 1: Complete dataset </t>
  </si>
  <si>
    <t>Sme/Ill</t>
  </si>
  <si>
    <t>Kao/Ill</t>
  </si>
  <si>
    <t>PIG sub-ice shelf</t>
  </si>
  <si>
    <t>PS104/008-2</t>
  </si>
  <si>
    <t>PS104/013-2</t>
  </si>
  <si>
    <t>PS104/009-1</t>
  </si>
  <si>
    <t>PS104/012-2</t>
  </si>
  <si>
    <t>PS75/160-1</t>
  </si>
  <si>
    <t>PS69/288-3</t>
  </si>
  <si>
    <t>PS69/295-1</t>
  </si>
  <si>
    <t>PS69/291-1</t>
  </si>
  <si>
    <t>PS69/292-2</t>
  </si>
  <si>
    <t>PS75/166-3</t>
  </si>
  <si>
    <t>PS75/173-1</t>
  </si>
  <si>
    <t>PS75/177-1</t>
  </si>
  <si>
    <t>PS75/219-2</t>
  </si>
  <si>
    <t>PS104/021-1</t>
  </si>
  <si>
    <r>
      <t>Gear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</si>
  <si>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proximal to site PS75/168-1</t>
    </r>
  </si>
  <si>
    <t>Site</t>
  </si>
  <si>
    <r>
      <t>0.51</t>
    </r>
    <r>
      <rPr>
        <vertAlign val="superscript"/>
        <sz val="11"/>
        <color theme="1"/>
        <rFont val="Calibri"/>
        <family val="2"/>
        <scheme val="minor"/>
      </rPr>
      <t>c</t>
    </r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</si>
  <si>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Isotopic value determined by sample-standard bracketing and error based on standard deviation of the measured BCR-2 standard within the same batch to the published value of 0.512638 (Weis et al., 2006)</t>
    </r>
  </si>
  <si>
    <r>
      <t>PS75/159-1</t>
    </r>
    <r>
      <rPr>
        <vertAlign val="superscript"/>
        <sz val="11"/>
        <color theme="1"/>
        <rFont val="Calibri"/>
        <family val="2"/>
        <scheme val="minor"/>
      </rPr>
      <t>d</t>
    </r>
  </si>
  <si>
    <r>
      <t>PS75/167-1</t>
    </r>
    <r>
      <rPr>
        <vertAlign val="superscript"/>
        <sz val="11"/>
        <color theme="1"/>
        <rFont val="Calibri"/>
        <family val="2"/>
        <scheme val="minor"/>
      </rPr>
      <t>b,d</t>
    </r>
  </si>
  <si>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Strontium and neodymium isotopic and trace element data by Simões Pereira et al., 2018</t>
    </r>
  </si>
  <si>
    <r>
      <t>BC476</t>
    </r>
    <r>
      <rPr>
        <vertAlign val="superscript"/>
        <sz val="11"/>
        <color theme="1"/>
        <rFont val="Calibri"/>
        <family val="2"/>
        <scheme val="minor"/>
      </rPr>
      <t>d,f</t>
    </r>
  </si>
  <si>
    <r>
      <t>BC482</t>
    </r>
    <r>
      <rPr>
        <vertAlign val="superscript"/>
        <sz val="11"/>
        <color theme="1"/>
        <rFont val="Calibri"/>
        <family val="2"/>
        <scheme val="minor"/>
      </rPr>
      <t>d,f</t>
    </r>
  </si>
  <si>
    <r>
      <rPr>
        <vertAlign val="superscript"/>
        <sz val="11"/>
        <color theme="1"/>
        <rFont val="Calibri"/>
        <family val="2"/>
        <scheme val="minor"/>
      </rPr>
      <t xml:space="preserve">e </t>
    </r>
    <r>
      <rPr>
        <sz val="11"/>
        <color theme="1"/>
        <rFont val="Calibri"/>
        <family val="2"/>
        <scheme val="minor"/>
      </rPr>
      <t>Clay mineral assemblages data by Ehrmann et al., 2011</t>
    </r>
  </si>
  <si>
    <r>
      <rPr>
        <vertAlign val="superscript"/>
        <sz val="11"/>
        <color theme="1"/>
        <rFont val="Calibri"/>
        <family val="2"/>
        <scheme val="minor"/>
      </rPr>
      <t xml:space="preserve">f  </t>
    </r>
    <r>
      <rPr>
        <sz val="11"/>
        <color theme="1"/>
        <rFont val="Calibri"/>
        <family val="2"/>
        <scheme val="minor"/>
      </rPr>
      <t>Smectite contents by Smith et al., 2017</t>
    </r>
  </si>
  <si>
    <r>
      <t>PIG-C</t>
    </r>
    <r>
      <rPr>
        <vertAlign val="superscript"/>
        <sz val="11"/>
        <color theme="1"/>
        <rFont val="Calibri"/>
        <family val="2"/>
        <scheme val="minor"/>
      </rPr>
      <t>f</t>
    </r>
  </si>
  <si>
    <r>
      <t>PIG-A</t>
    </r>
    <r>
      <rPr>
        <vertAlign val="superscript"/>
        <sz val="11"/>
        <color theme="1"/>
        <rFont val="Calibri"/>
        <family val="2"/>
        <scheme val="minor"/>
      </rPr>
      <t>f</t>
    </r>
  </si>
  <si>
    <r>
      <t>PIG-B</t>
    </r>
    <r>
      <rPr>
        <vertAlign val="superscript"/>
        <sz val="11"/>
        <color theme="1"/>
        <rFont val="Calibri"/>
        <family val="2"/>
        <scheme val="minor"/>
      </rPr>
      <t>f</t>
    </r>
  </si>
  <si>
    <r>
      <rPr>
        <vertAlign val="superscript"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Samples denoted with a star were analysed at L-DEO for their Nd isotopic composition using similar methodologies to those described in the main text, but run on a AXIOM MC-ICP-MS (see van de Flierdt et al., 2008,
for more details on methodology).</t>
    </r>
  </si>
  <si>
    <t>NBP07-02 SMG10*</t>
  </si>
  <si>
    <t>NBP00-01 KC28*</t>
  </si>
  <si>
    <t>NBP07-02 SMG8*</t>
  </si>
  <si>
    <t>NBP99-02 PC51*</t>
  </si>
  <si>
    <t>Size fraction</t>
  </si>
  <si>
    <t>63 μm-2mm</t>
  </si>
  <si>
    <t>&gt;150 μm</t>
  </si>
  <si>
    <t>GBC</t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</si>
  <si>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PerC: percussion corer; GC: gravity corer; PC: piston corer; grab: Smith-Mcintyre Grab; GBC: giant box corer</t>
    </r>
  </si>
  <si>
    <t>Sus[10E-6 SI)</t>
  </si>
  <si>
    <t>kARM/k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</si>
</sst>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00"/>
    <numFmt numFmtId="166" formatCode="0.000"/>
    <numFmt numFmtId="167" formatCode="0.00000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Geneva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Verdana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vertAlign val="superscript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1" fillId="0" borderId="0"/>
    <xf numFmtId="0" fontId="6" fillId="0" borderId="0"/>
    <xf numFmtId="0" fontId="7" fillId="0" borderId="0"/>
    <xf numFmtId="0" fontId="10" fillId="0" borderId="0"/>
    <xf numFmtId="0" fontId="6" fillId="0" borderId="0"/>
    <xf numFmtId="0" fontId="10" fillId="0" borderId="0"/>
    <xf numFmtId="0" fontId="11" fillId="0" borderId="0"/>
    <xf numFmtId="0" fontId="1" fillId="2" borderId="0" applyNumberFormat="0" applyBorder="0" applyAlignment="0" applyProtection="0"/>
  </cellStyleXfs>
  <cellXfs count="171">
    <xf numFmtId="0" fontId="0" fillId="0" borderId="0" xfId="0"/>
    <xf numFmtId="0" fontId="0" fillId="0" borderId="1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6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" fontId="1" fillId="0" borderId="0" xfId="9" applyNumberFormat="1" applyFill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Border="1"/>
    <xf numFmtId="167" fontId="0" fillId="0" borderId="0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2" fontId="0" fillId="0" borderId="8" xfId="0" applyNumberForma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166" fontId="7" fillId="0" borderId="0" xfId="0" applyNumberFormat="1" applyFon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166" fontId="7" fillId="0" borderId="7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1" fillId="0" borderId="1" xfId="9" applyNumberFormat="1" applyFill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2" fillId="0" borderId="1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2" fillId="6" borderId="3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2" fillId="6" borderId="4" xfId="0" applyNumberFormat="1" applyFont="1" applyFill="1" applyBorder="1" applyAlignment="1">
      <alignment horizontal="center"/>
    </xf>
    <xf numFmtId="1" fontId="0" fillId="6" borderId="2" xfId="0" applyNumberFormat="1" applyFill="1" applyBorder="1" applyAlignment="1">
      <alignment horizontal="center"/>
    </xf>
    <xf numFmtId="1" fontId="0" fillId="6" borderId="0" xfId="0" applyNumberFormat="1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" fontId="0" fillId="6" borderId="3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2" fontId="0" fillId="7" borderId="0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165" fontId="0" fillId="7" borderId="0" xfId="0" applyNumberFormat="1" applyFill="1" applyBorder="1" applyAlignment="1">
      <alignment horizontal="center"/>
    </xf>
    <xf numFmtId="165" fontId="0" fillId="7" borderId="5" xfId="0" applyNumberFormat="1" applyFill="1" applyBorder="1" applyAlignment="1">
      <alignment horizontal="center"/>
    </xf>
    <xf numFmtId="165" fontId="0" fillId="7" borderId="9" xfId="0" applyNumberFormat="1" applyFill="1" applyBorder="1" applyAlignment="1">
      <alignment horizontal="center"/>
    </xf>
    <xf numFmtId="165" fontId="0" fillId="7" borderId="8" xfId="0" applyNumberFormat="1" applyFill="1" applyBorder="1" applyAlignment="1">
      <alignment horizontal="center"/>
    </xf>
    <xf numFmtId="2" fontId="0" fillId="7" borderId="8" xfId="0" applyNumberFormat="1" applyFill="1" applyBorder="1" applyAlignment="1">
      <alignment horizontal="center"/>
    </xf>
    <xf numFmtId="165" fontId="0" fillId="7" borderId="6" xfId="0" applyNumberFormat="1" applyFill="1" applyBorder="1" applyAlignment="1">
      <alignment horizontal="center"/>
    </xf>
    <xf numFmtId="165" fontId="0" fillId="7" borderId="3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5" fontId="0" fillId="7" borderId="4" xfId="0" applyNumberFormat="1" applyFill="1" applyBorder="1" applyAlignment="1">
      <alignment horizontal="center"/>
    </xf>
    <xf numFmtId="165" fontId="4" fillId="7" borderId="2" xfId="0" applyNumberFormat="1" applyFont="1" applyFill="1" applyBorder="1" applyAlignment="1">
      <alignment horizontal="center"/>
    </xf>
    <xf numFmtId="165" fontId="4" fillId="7" borderId="0" xfId="0" applyNumberFormat="1" applyFont="1" applyFill="1" applyBorder="1" applyAlignment="1">
      <alignment horizontal="center"/>
    </xf>
    <xf numFmtId="2" fontId="4" fillId="7" borderId="0" xfId="0" applyNumberFormat="1" applyFont="1" applyFill="1" applyBorder="1" applyAlignment="1">
      <alignment horizontal="center"/>
    </xf>
    <xf numFmtId="165" fontId="4" fillId="7" borderId="5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6" fontId="0" fillId="5" borderId="4" xfId="0" applyNumberFormat="1" applyFill="1" applyBorder="1" applyAlignment="1">
      <alignment horizontal="center"/>
    </xf>
    <xf numFmtId="166" fontId="0" fillId="5" borderId="0" xfId="0" applyNumberFormat="1" applyFill="1" applyBorder="1" applyAlignment="1">
      <alignment horizontal="center"/>
    </xf>
    <xf numFmtId="166" fontId="0" fillId="5" borderId="5" xfId="0" applyNumberFormat="1" applyFill="1" applyBorder="1" applyAlignment="1">
      <alignment horizontal="center"/>
    </xf>
    <xf numFmtId="2" fontId="0" fillId="4" borderId="0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1" fontId="0" fillId="6" borderId="9" xfId="0" applyNumberFormat="1" applyFill="1" applyBorder="1" applyAlignment="1">
      <alignment horizontal="center"/>
    </xf>
    <xf numFmtId="1" fontId="0" fillId="6" borderId="8" xfId="0" applyNumberFormat="1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" fontId="0" fillId="5" borderId="8" xfId="0" applyNumberFormat="1" applyFill="1" applyBorder="1" applyAlignment="1">
      <alignment horizontal="center"/>
    </xf>
    <xf numFmtId="166" fontId="0" fillId="5" borderId="8" xfId="0" applyNumberFormat="1" applyFill="1" applyBorder="1" applyAlignment="1">
      <alignment horizontal="center"/>
    </xf>
    <xf numFmtId="166" fontId="0" fillId="5" borderId="6" xfId="0" applyNumberForma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2" fontId="2" fillId="3" borderId="10" xfId="0" applyNumberFormat="1" applyFont="1" applyFill="1" applyBorder="1" applyAlignment="1">
      <alignment horizontal="center"/>
    </xf>
    <xf numFmtId="2" fontId="2" fillId="3" borderId="7" xfId="0" applyNumberFormat="1" applyFont="1" applyFill="1" applyBorder="1" applyAlignment="1">
      <alignment horizontal="center"/>
    </xf>
    <xf numFmtId="2" fontId="2" fillId="3" borderId="11" xfId="0" applyNumberFormat="1" applyFont="1" applyFill="1" applyBorder="1" applyAlignment="1">
      <alignment horizontal="center"/>
    </xf>
    <xf numFmtId="1" fontId="2" fillId="6" borderId="10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" fontId="2" fillId="6" borderId="11" xfId="0" applyNumberFormat="1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</cellXfs>
  <cellStyles count="10">
    <cellStyle name="40% - Accent3" xfId="9" builtinId="39"/>
    <cellStyle name="Normal" xfId="0" builtinId="0"/>
    <cellStyle name="Normal 2" xfId="1"/>
    <cellStyle name="Normal 2 2" xfId="2"/>
    <cellStyle name="Normal 2 2 2" xfId="6"/>
    <cellStyle name="Normal 3" xfId="4"/>
    <cellStyle name="Normal 3 2" xfId="7"/>
    <cellStyle name="Normal 4" xfId="3"/>
    <cellStyle name="Normal 4 2" xfId="5"/>
    <cellStyle name="Normal 5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6"/>
  <sheetViews>
    <sheetView showGridLines="0" zoomScale="70" zoomScaleNormal="70" workbookViewId="0">
      <pane xSplit="2" topLeftCell="C1" activePane="topRight" state="frozen"/>
      <selection pane="topRight" activeCell="H5" sqref="H5:H7"/>
    </sheetView>
  </sheetViews>
  <sheetFormatPr defaultRowHeight="14.4"/>
  <cols>
    <col min="1" max="1" width="15.77734375" style="11" customWidth="1"/>
    <col min="2" max="2" width="18.6640625" style="11" customWidth="1"/>
    <col min="3" max="3" width="19.6640625" style="11" bestFit="1" customWidth="1"/>
    <col min="4" max="4" width="8.44140625" style="11" bestFit="1" customWidth="1"/>
    <col min="5" max="5" width="22" style="11" bestFit="1" customWidth="1"/>
    <col min="6" max="6" width="10.88671875" style="11" bestFit="1" customWidth="1"/>
    <col min="7" max="7" width="13.109375" style="11" bestFit="1" customWidth="1"/>
    <col min="8" max="8" width="20.44140625" style="11" bestFit="1" customWidth="1"/>
    <col min="9" max="9" width="22.6640625" style="11" bestFit="1" customWidth="1"/>
    <col min="10" max="10" width="14.21875" style="22" bestFit="1" customWidth="1"/>
    <col min="11" max="11" width="9.5546875" style="22" bestFit="1" customWidth="1"/>
    <col min="12" max="12" width="5.88671875" style="22" bestFit="1" customWidth="1"/>
    <col min="13" max="13" width="7.5546875" style="22" bestFit="1" customWidth="1"/>
    <col min="14" max="14" width="11.5546875" style="22" bestFit="1" customWidth="1"/>
    <col min="15" max="15" width="9.5546875" style="22" bestFit="1" customWidth="1"/>
    <col min="16" max="16" width="7.6640625" style="22" bestFit="1" customWidth="1"/>
    <col min="17" max="17" width="7" style="28" bestFit="1" customWidth="1"/>
    <col min="18" max="18" width="8.44140625" style="11" bestFit="1" customWidth="1"/>
    <col min="19" max="19" width="7.6640625" style="11" bestFit="1" customWidth="1"/>
    <col min="20" max="21" width="6.44140625" style="11" bestFit="1" customWidth="1"/>
    <col min="22" max="22" width="7.109375" style="11" bestFit="1" customWidth="1"/>
    <col min="23" max="23" width="7" style="11" bestFit="1" customWidth="1"/>
    <col min="24" max="24" width="8.77734375" style="11" bestFit="1" customWidth="1"/>
    <col min="25" max="25" width="3.77734375" style="11" bestFit="1" customWidth="1"/>
    <col min="26" max="26" width="4.5546875" style="11" bestFit="1" customWidth="1"/>
    <col min="27" max="27" width="4.21875" style="11" bestFit="1" customWidth="1"/>
    <col min="28" max="28" width="5.6640625" style="11" bestFit="1" customWidth="1"/>
    <col min="29" max="29" width="3.44140625" style="11" bestFit="1" customWidth="1"/>
    <col min="30" max="30" width="4.21875" style="11" bestFit="1" customWidth="1"/>
    <col min="31" max="31" width="4.5546875" style="11" bestFit="1" customWidth="1"/>
    <col min="32" max="32" width="4" style="11" bestFit="1" customWidth="1"/>
    <col min="33" max="33" width="4.77734375" style="11" bestFit="1" customWidth="1"/>
    <col min="34" max="34" width="4.5546875" style="11" bestFit="1" customWidth="1"/>
    <col min="35" max="35" width="4.77734375" style="11" bestFit="1" customWidth="1"/>
    <col min="36" max="36" width="4.21875" style="11" bestFit="1" customWidth="1"/>
    <col min="37" max="37" width="3.44140625" style="11" bestFit="1" customWidth="1"/>
    <col min="38" max="38" width="4.5546875" style="11" bestFit="1" customWidth="1"/>
    <col min="39" max="39" width="5.109375" style="11" bestFit="1" customWidth="1"/>
    <col min="40" max="40" width="4.88671875" style="11" bestFit="1" customWidth="1"/>
    <col min="41" max="43" width="4.77734375" style="11" bestFit="1" customWidth="1"/>
    <col min="44" max="44" width="4.5546875" style="11" bestFit="1" customWidth="1"/>
    <col min="45" max="45" width="5.109375" style="11" bestFit="1" customWidth="1"/>
    <col min="46" max="46" width="5.88671875" style="11" bestFit="1" customWidth="1"/>
    <col min="47" max="47" width="4.77734375" style="11" bestFit="1" customWidth="1"/>
    <col min="48" max="48" width="5.109375" style="11" bestFit="1" customWidth="1"/>
    <col min="49" max="49" width="5.33203125" style="11" bestFit="1" customWidth="1"/>
    <col min="50" max="50" width="4.77734375" style="11" bestFit="1" customWidth="1"/>
    <col min="51" max="51" width="4.88671875" style="11" bestFit="1" customWidth="1"/>
    <col min="52" max="52" width="4.77734375" style="11" bestFit="1" customWidth="1"/>
    <col min="53" max="55" width="4.5546875" style="11" bestFit="1" customWidth="1"/>
    <col min="56" max="56" width="4.21875" style="11" bestFit="1" customWidth="1"/>
    <col min="57" max="57" width="4.77734375" style="11" bestFit="1" customWidth="1"/>
    <col min="58" max="58" width="4.5546875" style="11" bestFit="1" customWidth="1"/>
    <col min="59" max="59" width="4.21875" style="11" bestFit="1" customWidth="1"/>
    <col min="60" max="60" width="4" style="11" bestFit="1" customWidth="1"/>
    <col min="61" max="62" width="5.109375" style="11" bestFit="1" customWidth="1"/>
    <col min="63" max="63" width="4" style="11" bestFit="1" customWidth="1"/>
    <col min="64" max="64" width="7.6640625" style="11" bestFit="1" customWidth="1"/>
    <col min="65" max="65" width="10.44140625" style="11" bestFit="1" customWidth="1"/>
    <col min="66" max="67" width="9.33203125" style="11" bestFit="1" customWidth="1"/>
    <col min="68" max="69" width="9.33203125" style="11" customWidth="1"/>
    <col min="70" max="70" width="14.88671875" style="11" bestFit="1" customWidth="1"/>
    <col min="71" max="71" width="27.6640625" style="11" bestFit="1" customWidth="1"/>
    <col min="72" max="72" width="23.6640625" style="11" bestFit="1" customWidth="1"/>
    <col min="73" max="73" width="24.21875" style="11" bestFit="1" customWidth="1"/>
    <col min="74" max="74" width="15.6640625" style="11" bestFit="1" customWidth="1"/>
    <col min="75" max="75" width="16.44140625" style="11" bestFit="1" customWidth="1"/>
    <col min="76" max="76" width="13.77734375" style="11" bestFit="1" customWidth="1"/>
    <col min="77" max="77" width="19.21875" style="11" bestFit="1" customWidth="1"/>
    <col min="78" max="78" width="14.21875" style="11" bestFit="1" customWidth="1"/>
    <col min="79" max="79" width="29.77734375" style="11" bestFit="1" customWidth="1"/>
    <col min="80" max="80" width="9.21875" style="11" bestFit="1" customWidth="1"/>
    <col min="81" max="16384" width="8.88671875" style="22"/>
  </cols>
  <sheetData>
    <row r="1" spans="1:80">
      <c r="A1" s="30" t="s">
        <v>300</v>
      </c>
      <c r="B1" s="22"/>
      <c r="C1" s="22"/>
      <c r="D1" s="22"/>
      <c r="E1" s="22"/>
      <c r="F1" s="22"/>
      <c r="G1" s="22"/>
      <c r="H1" s="22"/>
      <c r="I1" s="22"/>
      <c r="Q1" s="27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</row>
    <row r="2" spans="1:80">
      <c r="A2" s="30"/>
      <c r="B2" s="22"/>
      <c r="C2" s="22"/>
      <c r="D2" s="22"/>
      <c r="E2" s="22"/>
      <c r="F2" s="22"/>
      <c r="G2" s="22"/>
      <c r="H2" s="22"/>
      <c r="I2" s="22"/>
      <c r="Q2" s="27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</row>
    <row r="3" spans="1:80">
      <c r="A3" s="22"/>
      <c r="B3" s="22"/>
      <c r="C3" s="22"/>
      <c r="D3" s="157" t="s">
        <v>298</v>
      </c>
      <c r="E3" s="158"/>
      <c r="F3" s="158"/>
      <c r="G3" s="158"/>
      <c r="H3" s="158"/>
      <c r="I3" s="158"/>
      <c r="J3" s="159" t="s">
        <v>272</v>
      </c>
      <c r="K3" s="160"/>
      <c r="L3" s="160"/>
      <c r="M3" s="160"/>
      <c r="N3" s="160"/>
      <c r="O3" s="161"/>
      <c r="P3" s="162" t="s">
        <v>294</v>
      </c>
      <c r="Q3" s="163"/>
      <c r="R3" s="163"/>
      <c r="S3" s="163"/>
      <c r="T3" s="163"/>
      <c r="U3" s="163"/>
      <c r="V3" s="163"/>
      <c r="W3" s="163"/>
      <c r="X3" s="164"/>
      <c r="Y3" s="165" t="s">
        <v>295</v>
      </c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7"/>
      <c r="BL3" s="168" t="s">
        <v>296</v>
      </c>
      <c r="BM3" s="169"/>
      <c r="BN3" s="169"/>
      <c r="BO3" s="169"/>
      <c r="BP3" s="169"/>
      <c r="BQ3" s="170"/>
      <c r="BR3" s="154" t="s">
        <v>297</v>
      </c>
      <c r="BS3" s="155"/>
      <c r="BT3" s="155"/>
      <c r="BU3" s="155"/>
      <c r="BV3" s="155"/>
      <c r="BW3" s="155"/>
      <c r="BX3" s="155"/>
      <c r="BY3" s="155"/>
      <c r="BZ3" s="155"/>
      <c r="CA3" s="155"/>
      <c r="CB3" s="156"/>
    </row>
    <row r="4" spans="1:80" ht="16.2">
      <c r="A4" s="50" t="s">
        <v>0</v>
      </c>
      <c r="B4" s="51" t="s">
        <v>320</v>
      </c>
      <c r="C4" s="53" t="s">
        <v>261</v>
      </c>
      <c r="D4" s="50" t="s">
        <v>318</v>
      </c>
      <c r="E4" s="51" t="s">
        <v>262</v>
      </c>
      <c r="F4" s="51" t="s">
        <v>1</v>
      </c>
      <c r="G4" s="51" t="s">
        <v>2</v>
      </c>
      <c r="H4" s="52" t="s">
        <v>3</v>
      </c>
      <c r="I4" s="51" t="s">
        <v>263</v>
      </c>
      <c r="J4" s="117" t="s">
        <v>4</v>
      </c>
      <c r="K4" s="118" t="s">
        <v>23</v>
      </c>
      <c r="L4" s="118" t="s">
        <v>264</v>
      </c>
      <c r="M4" s="118" t="s">
        <v>299</v>
      </c>
      <c r="N4" s="118" t="s">
        <v>5</v>
      </c>
      <c r="O4" s="119" t="s">
        <v>23</v>
      </c>
      <c r="P4" s="122" t="s">
        <v>206</v>
      </c>
      <c r="Q4" s="84" t="s">
        <v>207</v>
      </c>
      <c r="R4" s="62" t="s">
        <v>208</v>
      </c>
      <c r="S4" s="83" t="s">
        <v>209</v>
      </c>
      <c r="T4" s="83" t="s">
        <v>210</v>
      </c>
      <c r="U4" s="83" t="s">
        <v>211</v>
      </c>
      <c r="V4" s="83" t="s">
        <v>212</v>
      </c>
      <c r="W4" s="83" t="s">
        <v>213</v>
      </c>
      <c r="X4" s="85" t="s">
        <v>214</v>
      </c>
      <c r="Y4" s="69" t="s">
        <v>215</v>
      </c>
      <c r="Z4" s="70" t="s">
        <v>216</v>
      </c>
      <c r="AA4" s="70" t="s">
        <v>217</v>
      </c>
      <c r="AB4" s="70" t="s">
        <v>218</v>
      </c>
      <c r="AC4" s="70" t="s">
        <v>219</v>
      </c>
      <c r="AD4" s="70" t="s">
        <v>220</v>
      </c>
      <c r="AE4" s="70" t="s">
        <v>221</v>
      </c>
      <c r="AF4" s="70" t="s">
        <v>222</v>
      </c>
      <c r="AG4" s="70" t="s">
        <v>223</v>
      </c>
      <c r="AH4" s="70" t="s">
        <v>224</v>
      </c>
      <c r="AI4" s="70" t="s">
        <v>225</v>
      </c>
      <c r="AJ4" s="70" t="s">
        <v>226</v>
      </c>
      <c r="AK4" s="70" t="s">
        <v>227</v>
      </c>
      <c r="AL4" s="70" t="s">
        <v>228</v>
      </c>
      <c r="AM4" s="71" t="s">
        <v>229</v>
      </c>
      <c r="AN4" s="71" t="s">
        <v>230</v>
      </c>
      <c r="AO4" s="71" t="s">
        <v>231</v>
      </c>
      <c r="AP4" s="71" t="s">
        <v>232</v>
      </c>
      <c r="AQ4" s="71" t="s">
        <v>233</v>
      </c>
      <c r="AR4" s="70" t="s">
        <v>234</v>
      </c>
      <c r="AS4" s="71" t="s">
        <v>235</v>
      </c>
      <c r="AT4" s="71" t="s">
        <v>236</v>
      </c>
      <c r="AU4" s="71" t="s">
        <v>237</v>
      </c>
      <c r="AV4" s="71" t="s">
        <v>238</v>
      </c>
      <c r="AW4" s="71" t="s">
        <v>239</v>
      </c>
      <c r="AX4" s="71" t="s">
        <v>240</v>
      </c>
      <c r="AY4" s="71" t="s">
        <v>241</v>
      </c>
      <c r="AZ4" s="71" t="s">
        <v>242</v>
      </c>
      <c r="BA4" s="71" t="s">
        <v>243</v>
      </c>
      <c r="BB4" s="71" t="s">
        <v>244</v>
      </c>
      <c r="BC4" s="71" t="s">
        <v>245</v>
      </c>
      <c r="BD4" s="71" t="s">
        <v>246</v>
      </c>
      <c r="BE4" s="71" t="s">
        <v>247</v>
      </c>
      <c r="BF4" s="71" t="s">
        <v>248</v>
      </c>
      <c r="BG4" s="71" t="s">
        <v>249</v>
      </c>
      <c r="BH4" s="71" t="s">
        <v>250</v>
      </c>
      <c r="BI4" s="71" t="s">
        <v>251</v>
      </c>
      <c r="BJ4" s="71" t="s">
        <v>252</v>
      </c>
      <c r="BK4" s="72" t="s">
        <v>253</v>
      </c>
      <c r="BL4" s="129" t="s">
        <v>14</v>
      </c>
      <c r="BM4" s="130" t="s">
        <v>15</v>
      </c>
      <c r="BN4" s="130" t="s">
        <v>16</v>
      </c>
      <c r="BO4" s="131" t="s">
        <v>17</v>
      </c>
      <c r="BP4" s="56" t="s">
        <v>301</v>
      </c>
      <c r="BQ4" s="57" t="s">
        <v>302</v>
      </c>
      <c r="BR4" s="104" t="s">
        <v>24</v>
      </c>
      <c r="BS4" s="105" t="s">
        <v>25</v>
      </c>
      <c r="BT4" s="106" t="s">
        <v>26</v>
      </c>
      <c r="BU4" s="106" t="s">
        <v>27</v>
      </c>
      <c r="BV4" s="106" t="s">
        <v>28</v>
      </c>
      <c r="BW4" s="105" t="s">
        <v>29</v>
      </c>
      <c r="BX4" s="105" t="s">
        <v>343</v>
      </c>
      <c r="BY4" s="105" t="s">
        <v>30</v>
      </c>
      <c r="BZ4" s="105" t="s">
        <v>344</v>
      </c>
      <c r="CA4" s="105" t="s">
        <v>31</v>
      </c>
      <c r="CB4" s="107" t="s">
        <v>32</v>
      </c>
    </row>
    <row r="5" spans="1:80" s="13" customFormat="1" ht="16.2">
      <c r="A5" s="132">
        <v>1</v>
      </c>
      <c r="B5" s="35" t="s">
        <v>332</v>
      </c>
      <c r="C5" s="16">
        <v>2</v>
      </c>
      <c r="D5" s="54" t="s">
        <v>20</v>
      </c>
      <c r="E5" s="35" t="s">
        <v>265</v>
      </c>
      <c r="F5" s="34">
        <v>-75.08</v>
      </c>
      <c r="G5" s="34">
        <v>-100.43</v>
      </c>
      <c r="H5" s="35">
        <v>725</v>
      </c>
      <c r="I5" s="35" t="s">
        <v>303</v>
      </c>
      <c r="J5" s="93">
        <v>0.51221318079853717</v>
      </c>
      <c r="K5" s="94">
        <v>8.9596165900284705E-6</v>
      </c>
      <c r="L5" s="95">
        <v>-8.2869237446869803</v>
      </c>
      <c r="M5" s="95">
        <v>0.2113915733426214</v>
      </c>
      <c r="N5" s="94">
        <v>0.72655285484201559</v>
      </c>
      <c r="O5" s="96">
        <v>7.3734725982080132E-6</v>
      </c>
      <c r="P5" s="133">
        <v>1.2245670738411369</v>
      </c>
      <c r="Q5" s="134">
        <v>1.4139055690275015</v>
      </c>
      <c r="R5" s="135">
        <v>13.610717790335817</v>
      </c>
      <c r="S5" s="134">
        <v>5.6432625274899374E-2</v>
      </c>
      <c r="T5" s="134">
        <v>3.8598933951897609</v>
      </c>
      <c r="U5" s="134">
        <v>0.46165141965915402</v>
      </c>
      <c r="V5" s="134">
        <v>0.77086505292997687</v>
      </c>
      <c r="W5" s="134">
        <v>4.6272028575259166E-2</v>
      </c>
      <c r="X5" s="136">
        <v>4.250955476448425</v>
      </c>
      <c r="Y5" s="137">
        <v>42.436442912719301</v>
      </c>
      <c r="Z5" s="138">
        <v>10.219294285024301</v>
      </c>
      <c r="AA5" s="138">
        <v>60.750191917678301</v>
      </c>
      <c r="AB5" s="138">
        <v>4744.1150842567204</v>
      </c>
      <c r="AC5" s="138">
        <v>70.370876027841803</v>
      </c>
      <c r="AD5" s="138">
        <v>51.839755672864101</v>
      </c>
      <c r="AE5" s="138">
        <v>8.1425808154638606</v>
      </c>
      <c r="AF5" s="138">
        <v>21.424524754359801</v>
      </c>
      <c r="AG5" s="138">
        <v>13.680017072375399</v>
      </c>
      <c r="AH5" s="138">
        <v>71.0580595421212</v>
      </c>
      <c r="AI5" s="138">
        <v>184.933618542082</v>
      </c>
      <c r="AJ5" s="138">
        <v>109.579331027851</v>
      </c>
      <c r="AK5" s="138">
        <v>25.852974521077599</v>
      </c>
      <c r="AL5" s="138">
        <v>144.51055996226199</v>
      </c>
      <c r="AM5" s="139">
        <v>21.540139798709198</v>
      </c>
      <c r="AN5" s="139">
        <v>0.48893104332663301</v>
      </c>
      <c r="AO5" s="139">
        <v>6.5265333091051803</v>
      </c>
      <c r="AP5" s="139">
        <v>0.93055351887169602</v>
      </c>
      <c r="AQ5" s="139">
        <v>9.6431570521643195</v>
      </c>
      <c r="AR5" s="138">
        <v>656.007922419897</v>
      </c>
      <c r="AS5" s="139">
        <v>40.306682160984003</v>
      </c>
      <c r="AT5" s="139">
        <v>88.257053715880303</v>
      </c>
      <c r="AU5" s="139">
        <v>8.6464099703270207</v>
      </c>
      <c r="AV5" s="139">
        <v>31.773129319514101</v>
      </c>
      <c r="AW5" s="139">
        <v>5.8270857355057197</v>
      </c>
      <c r="AX5" s="139">
        <v>1.01048992766962</v>
      </c>
      <c r="AY5" s="139">
        <v>4.6248188744364702</v>
      </c>
      <c r="AZ5" s="139">
        <v>0.74606838194470004</v>
      </c>
      <c r="BA5" s="139">
        <v>4.1633716810954597</v>
      </c>
      <c r="BB5" s="139">
        <v>0.86066256371856098</v>
      </c>
      <c r="BC5" s="139">
        <v>1.5640982637968399</v>
      </c>
      <c r="BD5" s="139">
        <v>2.4672940240942798</v>
      </c>
      <c r="BE5" s="139">
        <v>2.4413794215215301</v>
      </c>
      <c r="BF5" s="139">
        <v>0.355534686259247</v>
      </c>
      <c r="BG5" s="139">
        <v>4.1137667582345596</v>
      </c>
      <c r="BH5" s="139">
        <v>1.2736573072295601</v>
      </c>
      <c r="BI5" s="139">
        <v>23.850315971799301</v>
      </c>
      <c r="BJ5" s="139">
        <v>15.9391965358524</v>
      </c>
      <c r="BK5" s="140">
        <v>3.1549017648266902</v>
      </c>
      <c r="BL5" s="141">
        <v>57.7</v>
      </c>
      <c r="BM5" s="142">
        <v>6.2751636594448925</v>
      </c>
      <c r="BN5" s="142">
        <v>17.91260754464459</v>
      </c>
      <c r="BO5" s="143">
        <v>18.115650092149778</v>
      </c>
      <c r="BP5" s="144">
        <f>BM5/BL5</f>
        <v>0.10875500276334302</v>
      </c>
      <c r="BQ5" s="145">
        <f>BN5/BL5</f>
        <v>0.3104438049331818</v>
      </c>
      <c r="BR5" s="146"/>
      <c r="BS5" s="147"/>
      <c r="BT5" s="147"/>
      <c r="BU5" s="147"/>
      <c r="BV5" s="147"/>
      <c r="BW5" s="147"/>
      <c r="BX5" s="147"/>
      <c r="BY5" s="147"/>
      <c r="BZ5" s="147"/>
      <c r="CA5" s="147"/>
      <c r="CB5" s="148"/>
    </row>
    <row r="6" spans="1:80" s="13" customFormat="1" ht="16.2">
      <c r="A6" s="55">
        <v>2</v>
      </c>
      <c r="B6" s="13" t="s">
        <v>331</v>
      </c>
      <c r="C6" s="8">
        <v>2</v>
      </c>
      <c r="D6" s="29" t="s">
        <v>20</v>
      </c>
      <c r="E6" s="13" t="s">
        <v>265</v>
      </c>
      <c r="F6" s="9">
        <v>-75.040000000000006</v>
      </c>
      <c r="G6" s="9">
        <v>-100.65</v>
      </c>
      <c r="H6" s="13">
        <v>770</v>
      </c>
      <c r="I6" s="13" t="s">
        <v>303</v>
      </c>
      <c r="J6" s="90">
        <v>0.51219946750822765</v>
      </c>
      <c r="K6" s="91">
        <v>1.2182525165336499E-5</v>
      </c>
      <c r="L6" s="81">
        <v>-8.5544281105265405</v>
      </c>
      <c r="M6" s="81" t="s">
        <v>321</v>
      </c>
      <c r="N6" s="91">
        <v>0.73051843688442808</v>
      </c>
      <c r="O6" s="92">
        <v>8.0313937114626812E-6</v>
      </c>
      <c r="P6" s="123">
        <v>1.3536044174436539</v>
      </c>
      <c r="Q6" s="86">
        <v>1.8410478473786307</v>
      </c>
      <c r="R6" s="63">
        <v>15.128363055962927</v>
      </c>
      <c r="S6" s="86">
        <v>6.7946486497088315E-2</v>
      </c>
      <c r="T6" s="86">
        <v>3.9755239372822109</v>
      </c>
      <c r="U6" s="86">
        <v>0.54734351613593857</v>
      </c>
      <c r="V6" s="86">
        <v>0.8327930797720321</v>
      </c>
      <c r="W6" s="86">
        <v>5.0846348027203427E-2</v>
      </c>
      <c r="X6" s="87">
        <v>4.9645388866483353</v>
      </c>
      <c r="Y6" s="73">
        <v>50.5264048437543</v>
      </c>
      <c r="Z6" s="74">
        <v>13.0847452877004</v>
      </c>
      <c r="AA6" s="74">
        <v>47.460675858308498</v>
      </c>
      <c r="AB6" s="74">
        <v>5147.2577781256196</v>
      </c>
      <c r="AC6" s="74">
        <v>82.274053402011205</v>
      </c>
      <c r="AD6" s="74">
        <v>63.491446504711298</v>
      </c>
      <c r="AE6" s="74">
        <v>9.6158728397709901</v>
      </c>
      <c r="AF6" s="74">
        <v>33.7247859042103</v>
      </c>
      <c r="AG6" s="74">
        <v>13.944005664103701</v>
      </c>
      <c r="AH6" s="74">
        <v>82.118245487626496</v>
      </c>
      <c r="AI6" s="74">
        <v>200.71973306679601</v>
      </c>
      <c r="AJ6" s="74">
        <v>116.409260127862</v>
      </c>
      <c r="AK6" s="74">
        <v>31.041540462575501</v>
      </c>
      <c r="AL6" s="74">
        <v>145.973642410921</v>
      </c>
      <c r="AM6" s="75">
        <v>22.707827590889799</v>
      </c>
      <c r="AN6" s="75">
        <v>0.64495816496297198</v>
      </c>
      <c r="AO6" s="75">
        <v>7.6114571024651498</v>
      </c>
      <c r="AP6" s="75">
        <v>1.0930160983258701</v>
      </c>
      <c r="AQ6" s="75">
        <v>11.2275108488826</v>
      </c>
      <c r="AR6" s="74">
        <v>674.76120705508094</v>
      </c>
      <c r="AS6" s="75">
        <v>42.208296512658798</v>
      </c>
      <c r="AT6" s="75">
        <v>88.319540919220103</v>
      </c>
      <c r="AU6" s="75">
        <v>9.4521125673683297</v>
      </c>
      <c r="AV6" s="75">
        <v>35.253164326215803</v>
      </c>
      <c r="AW6" s="75">
        <v>6.6673051140878004</v>
      </c>
      <c r="AX6" s="75">
        <v>1.1784543508749199</v>
      </c>
      <c r="AY6" s="75">
        <v>5.3269105079144303</v>
      </c>
      <c r="AZ6" s="75">
        <v>0.86249079514208304</v>
      </c>
      <c r="BA6" s="75">
        <v>4.8960230623270604</v>
      </c>
      <c r="BB6" s="75">
        <v>1.0151269196961601</v>
      </c>
      <c r="BC6" s="75">
        <v>1.59697313673912</v>
      </c>
      <c r="BD6" s="75">
        <v>2.9464179619922102</v>
      </c>
      <c r="BE6" s="75">
        <v>2.8908474255972001</v>
      </c>
      <c r="BF6" s="75">
        <v>0.40900087427141502</v>
      </c>
      <c r="BG6" s="75">
        <v>3.9469690375818498</v>
      </c>
      <c r="BH6" s="75">
        <v>1.34414193626752</v>
      </c>
      <c r="BI6" s="75">
        <v>20.7368171321177</v>
      </c>
      <c r="BJ6" s="75">
        <v>16.7563657548294</v>
      </c>
      <c r="BK6" s="76">
        <v>3.0925584704678801</v>
      </c>
      <c r="BL6" s="125">
        <v>61.071395357906766</v>
      </c>
      <c r="BM6" s="58">
        <v>3.5915821289046801</v>
      </c>
      <c r="BN6" s="58">
        <v>14.358875936292762</v>
      </c>
      <c r="BO6" s="59">
        <v>19.252950991687896</v>
      </c>
      <c r="BP6" s="115">
        <f t="shared" ref="BP6:BP30" si="0">BM6/BL6</f>
        <v>5.8809563918694491E-2</v>
      </c>
      <c r="BQ6" s="126">
        <f t="shared" ref="BQ6:BQ30" si="1">BN6/BL6</f>
        <v>0.23511622506974131</v>
      </c>
      <c r="BR6" s="108"/>
      <c r="BS6" s="109"/>
      <c r="BT6" s="109"/>
      <c r="BU6" s="109"/>
      <c r="BV6" s="109"/>
      <c r="BW6" s="109"/>
      <c r="BX6" s="109"/>
      <c r="BY6" s="109"/>
      <c r="BZ6" s="109"/>
      <c r="CA6" s="109"/>
      <c r="CB6" s="110"/>
    </row>
    <row r="7" spans="1:80" s="13" customFormat="1" ht="16.2">
      <c r="A7" s="55">
        <v>3</v>
      </c>
      <c r="B7" s="13" t="s">
        <v>330</v>
      </c>
      <c r="C7" s="8">
        <v>2</v>
      </c>
      <c r="D7" s="29" t="s">
        <v>20</v>
      </c>
      <c r="E7" s="13" t="s">
        <v>265</v>
      </c>
      <c r="F7" s="9">
        <v>-75.02</v>
      </c>
      <c r="G7" s="153">
        <v>-100.7</v>
      </c>
      <c r="H7" s="13">
        <v>811</v>
      </c>
      <c r="I7" s="13" t="s">
        <v>303</v>
      </c>
      <c r="J7" s="90">
        <v>0.51217418246739754</v>
      </c>
      <c r="K7" s="91">
        <v>1.6939275115522576E-5</v>
      </c>
      <c r="L7" s="81">
        <v>-9.0476619486357102</v>
      </c>
      <c r="M7" s="81">
        <v>0.2113915733426214</v>
      </c>
      <c r="N7" s="91">
        <v>0.72882229809665622</v>
      </c>
      <c r="O7" s="92">
        <v>6.3389943313715261E-6</v>
      </c>
      <c r="P7" s="123">
        <v>1.2153352040216763</v>
      </c>
      <c r="Q7" s="86">
        <v>1.6387205918929499</v>
      </c>
      <c r="R7" s="63">
        <v>15.677800774870287</v>
      </c>
      <c r="S7" s="86">
        <v>5.4890069660471774E-2</v>
      </c>
      <c r="T7" s="86">
        <v>4.014962598231623</v>
      </c>
      <c r="U7" s="86">
        <v>0.53880016860793367</v>
      </c>
      <c r="V7" s="86">
        <v>0.79460378644273233</v>
      </c>
      <c r="W7" s="86">
        <v>5.0266968797557363E-2</v>
      </c>
      <c r="X7" s="87">
        <v>4.6834325458625914</v>
      </c>
      <c r="Y7" s="73">
        <v>46.632320059862295</v>
      </c>
      <c r="Z7" s="74">
        <v>12.984035047107559</v>
      </c>
      <c r="AA7" s="74">
        <v>60.312080094539468</v>
      </c>
      <c r="AB7" s="74">
        <v>4822.0912081499282</v>
      </c>
      <c r="AC7" s="74">
        <v>77.133683856866</v>
      </c>
      <c r="AD7" s="74">
        <v>56.614620154438043</v>
      </c>
      <c r="AE7" s="74">
        <v>8.9739790618775928</v>
      </c>
      <c r="AF7" s="74">
        <v>21.124972252321633</v>
      </c>
      <c r="AG7" s="74">
        <v>14.605078467239689</v>
      </c>
      <c r="AH7" s="74">
        <v>74.065870969822612</v>
      </c>
      <c r="AI7" s="74">
        <v>192.4481127387117</v>
      </c>
      <c r="AJ7" s="74">
        <v>110.24246292140749</v>
      </c>
      <c r="AK7" s="74">
        <v>30.822660418565778</v>
      </c>
      <c r="AL7" s="74">
        <v>145.4849491896284</v>
      </c>
      <c r="AM7" s="75">
        <v>21.646414396797848</v>
      </c>
      <c r="AN7" s="75">
        <v>0.83544883627264677</v>
      </c>
      <c r="AO7" s="75">
        <v>7.0789193356951525</v>
      </c>
      <c r="AP7" s="75">
        <v>1.0019314936619954</v>
      </c>
      <c r="AQ7" s="75">
        <v>10.53320847302324</v>
      </c>
      <c r="AR7" s="74">
        <v>673.11920300001964</v>
      </c>
      <c r="AS7" s="75">
        <v>43.499936040470772</v>
      </c>
      <c r="AT7" s="75">
        <v>88.517522110438819</v>
      </c>
      <c r="AU7" s="75">
        <v>9.940347147857862</v>
      </c>
      <c r="AV7" s="75">
        <v>36.924420073021402</v>
      </c>
      <c r="AW7" s="75">
        <v>6.9911936472117944</v>
      </c>
      <c r="AX7" s="75">
        <v>1.2311373668958747</v>
      </c>
      <c r="AY7" s="75">
        <v>5.6141506577381319</v>
      </c>
      <c r="AZ7" s="75">
        <v>0.89378790649120354</v>
      </c>
      <c r="BA7" s="75">
        <v>5.0258137059538326</v>
      </c>
      <c r="BB7" s="75">
        <v>1.041648496340682</v>
      </c>
      <c r="BC7" s="75">
        <v>1.5809089561434779</v>
      </c>
      <c r="BD7" s="75">
        <v>2.9963796250080188</v>
      </c>
      <c r="BE7" s="75">
        <v>3.1262709828053148</v>
      </c>
      <c r="BF7" s="75">
        <v>0.42383265154234523</v>
      </c>
      <c r="BG7" s="75">
        <v>3.9524977761419349</v>
      </c>
      <c r="BH7" s="75">
        <v>1.3088656143369979</v>
      </c>
      <c r="BI7" s="75">
        <v>22.139328995131333</v>
      </c>
      <c r="BJ7" s="75">
        <v>16.393933310103073</v>
      </c>
      <c r="BK7" s="76">
        <v>2.9971686291240331</v>
      </c>
      <c r="BL7" s="125">
        <v>58.208906381548218</v>
      </c>
      <c r="BM7" s="58">
        <v>7.8862739148155088</v>
      </c>
      <c r="BN7" s="58">
        <v>16.529012086498273</v>
      </c>
      <c r="BO7" s="59">
        <v>17.375807617137998</v>
      </c>
      <c r="BP7" s="115">
        <f t="shared" si="0"/>
        <v>0.13548225529479108</v>
      </c>
      <c r="BQ7" s="126">
        <f t="shared" si="1"/>
        <v>0.28396018949666857</v>
      </c>
      <c r="BR7" s="108"/>
      <c r="BS7" s="109"/>
      <c r="BT7" s="109"/>
      <c r="BU7" s="109"/>
      <c r="BV7" s="109"/>
      <c r="BW7" s="109"/>
      <c r="BX7" s="109"/>
      <c r="BY7" s="109"/>
      <c r="BZ7" s="109"/>
      <c r="CA7" s="109"/>
      <c r="CB7" s="110"/>
    </row>
    <row r="8" spans="1:80" s="13" customFormat="1">
      <c r="A8" s="121">
        <v>4</v>
      </c>
      <c r="B8" s="12" t="s">
        <v>304</v>
      </c>
      <c r="C8" s="14">
        <v>3.5</v>
      </c>
      <c r="D8" s="31" t="s">
        <v>7</v>
      </c>
      <c r="E8" s="12" t="s">
        <v>257</v>
      </c>
      <c r="F8" s="7">
        <v>-74.868448200000003</v>
      </c>
      <c r="G8" s="7">
        <v>-100.7114753</v>
      </c>
      <c r="H8" s="12">
        <v>698</v>
      </c>
      <c r="I8" s="12" t="s">
        <v>303</v>
      </c>
      <c r="J8" s="97">
        <v>0.51221551139410715</v>
      </c>
      <c r="K8" s="98">
        <v>1.0819960105385407E-5</v>
      </c>
      <c r="L8" s="82">
        <v>-8.2414609508640879</v>
      </c>
      <c r="M8" s="82">
        <v>0.26032180915585584</v>
      </c>
      <c r="N8" s="98">
        <v>0.72398549692068037</v>
      </c>
      <c r="O8" s="99">
        <v>5.6871719665464986E-6</v>
      </c>
      <c r="P8" s="124">
        <v>1.2996383299956269</v>
      </c>
      <c r="Q8" s="88">
        <v>1.4630611308729404</v>
      </c>
      <c r="R8" s="64">
        <v>14.361391168310032</v>
      </c>
      <c r="S8" s="88">
        <v>5.8623093156288102E-2</v>
      </c>
      <c r="T8" s="88">
        <v>3.8621743560555886</v>
      </c>
      <c r="U8" s="88">
        <v>0.74247096046629224</v>
      </c>
      <c r="V8" s="88">
        <v>0.80480478654837517</v>
      </c>
      <c r="W8" s="88">
        <v>4.8395799364584116E-2</v>
      </c>
      <c r="X8" s="89">
        <v>4.2819788907099809</v>
      </c>
      <c r="Y8" s="77">
        <v>40.605399779787398</v>
      </c>
      <c r="Z8" s="78">
        <v>12.1233441486253</v>
      </c>
      <c r="AA8" s="78">
        <v>44.306333609922703</v>
      </c>
      <c r="AB8" s="78">
        <v>5063.7080688821598</v>
      </c>
      <c r="AC8" s="78">
        <v>73.334950474814605</v>
      </c>
      <c r="AD8" s="78">
        <v>57.1120360564395</v>
      </c>
      <c r="AE8" s="78">
        <v>8.4992320905600192</v>
      </c>
      <c r="AF8" s="78">
        <v>18.5516447458618</v>
      </c>
      <c r="AG8" s="78">
        <v>12.0118478878881</v>
      </c>
      <c r="AH8" s="78">
        <v>65.783910720072399</v>
      </c>
      <c r="AI8" s="78">
        <v>181.93938752782401</v>
      </c>
      <c r="AJ8" s="78">
        <v>121.604066728196</v>
      </c>
      <c r="AK8" s="78">
        <v>29.5064303069455</v>
      </c>
      <c r="AL8" s="78">
        <v>148.34926420323299</v>
      </c>
      <c r="AM8" s="79">
        <v>21.326984482334499</v>
      </c>
      <c r="AN8" s="79">
        <v>0.46839821449684199</v>
      </c>
      <c r="AO8" s="79">
        <v>6.2598397563718198</v>
      </c>
      <c r="AP8" s="79">
        <v>0.87243947861304005</v>
      </c>
      <c r="AQ8" s="79">
        <v>9.0072238536260993</v>
      </c>
      <c r="AR8" s="78">
        <v>650.83204892479398</v>
      </c>
      <c r="AS8" s="79">
        <v>42.4838032248255</v>
      </c>
      <c r="AT8" s="79">
        <v>86.285904434828396</v>
      </c>
      <c r="AU8" s="79">
        <v>9.5584207556414498</v>
      </c>
      <c r="AV8" s="79">
        <v>35.881974426779699</v>
      </c>
      <c r="AW8" s="79">
        <v>6.8076988383305803</v>
      </c>
      <c r="AX8" s="79">
        <v>1.21928913121198</v>
      </c>
      <c r="AY8" s="79">
        <v>5.5071343191610502</v>
      </c>
      <c r="AZ8" s="79">
        <v>0.87058395285057899</v>
      </c>
      <c r="BA8" s="79">
        <v>4.8596816433512204</v>
      </c>
      <c r="BB8" s="79">
        <v>1.01310428072551</v>
      </c>
      <c r="BC8" s="79">
        <v>1.5179571912323999</v>
      </c>
      <c r="BD8" s="79">
        <v>2.9013955129875901</v>
      </c>
      <c r="BE8" s="79">
        <v>2.9065277937307599</v>
      </c>
      <c r="BF8" s="79">
        <v>0.41157600586077098</v>
      </c>
      <c r="BG8" s="79">
        <v>4.0087601223286997</v>
      </c>
      <c r="BH8" s="79">
        <v>1.20715954605694</v>
      </c>
      <c r="BI8" s="79">
        <v>23.9579069196114</v>
      </c>
      <c r="BJ8" s="79">
        <v>14.1551617802015</v>
      </c>
      <c r="BK8" s="80">
        <v>2.7255686498196798</v>
      </c>
      <c r="BL8" s="127">
        <v>61.011159761233017</v>
      </c>
      <c r="BM8" s="60">
        <v>4.9893816225327274</v>
      </c>
      <c r="BN8" s="60">
        <v>18.036907066658294</v>
      </c>
      <c r="BO8" s="61">
        <v>15.962551549575963</v>
      </c>
      <c r="BP8" s="116">
        <f t="shared" si="0"/>
        <v>8.1778180287977759E-2</v>
      </c>
      <c r="BQ8" s="128">
        <f t="shared" si="1"/>
        <v>0.29563291596563113</v>
      </c>
      <c r="BR8" s="67">
        <v>158.43</v>
      </c>
      <c r="BS8" s="68">
        <v>12866</v>
      </c>
      <c r="BT8" s="68">
        <v>8675.4</v>
      </c>
      <c r="BU8" s="68">
        <v>12347</v>
      </c>
      <c r="BV8" s="68">
        <v>519</v>
      </c>
      <c r="BW8" s="68">
        <v>24.4</v>
      </c>
      <c r="BX8" s="68">
        <v>408.64</v>
      </c>
      <c r="BY8" s="68">
        <v>3982.9301999999998</v>
      </c>
      <c r="BZ8" s="68">
        <v>9.7467947337509795</v>
      </c>
      <c r="CA8" s="111">
        <v>1.8261982156442355E-2</v>
      </c>
      <c r="CB8" s="112">
        <v>0.95966112233794498</v>
      </c>
    </row>
    <row r="9" spans="1:80" s="13" customFormat="1">
      <c r="A9" s="132">
        <v>5</v>
      </c>
      <c r="B9" s="35" t="s">
        <v>305</v>
      </c>
      <c r="C9" s="16">
        <v>5</v>
      </c>
      <c r="D9" s="54" t="s">
        <v>7</v>
      </c>
      <c r="E9" s="35" t="s">
        <v>257</v>
      </c>
      <c r="F9" s="36">
        <v>-74.838089999999994</v>
      </c>
      <c r="G9" s="36">
        <v>-101.0437008</v>
      </c>
      <c r="H9" s="35">
        <v>545</v>
      </c>
      <c r="I9" s="35" t="s">
        <v>266</v>
      </c>
      <c r="J9" s="93">
        <v>0.51226631120680155</v>
      </c>
      <c r="K9" s="94">
        <v>1.3439950445136773E-5</v>
      </c>
      <c r="L9" s="95">
        <v>-7.2505119245647176</v>
      </c>
      <c r="M9" s="95">
        <v>0.26032180915585584</v>
      </c>
      <c r="N9" s="94">
        <v>0.71839750401065694</v>
      </c>
      <c r="O9" s="96">
        <v>6.4903417037969459E-6</v>
      </c>
      <c r="P9" s="133">
        <v>1.5961522980177478</v>
      </c>
      <c r="Q9" s="134">
        <v>1.4919122917136103</v>
      </c>
      <c r="R9" s="135">
        <v>14.609247459511964</v>
      </c>
      <c r="S9" s="134">
        <v>5.2004697188168393E-2</v>
      </c>
      <c r="T9" s="134">
        <v>3.8933697883717713</v>
      </c>
      <c r="U9" s="134">
        <v>1.060267124077946</v>
      </c>
      <c r="V9" s="134">
        <v>0.84676098348779927</v>
      </c>
      <c r="W9" s="134">
        <v>5.4006057477438911E-2</v>
      </c>
      <c r="X9" s="136">
        <v>4.4147880600082852</v>
      </c>
      <c r="Y9" s="137">
        <v>38.783435444054902</v>
      </c>
      <c r="Z9" s="138">
        <v>12.079391980909801</v>
      </c>
      <c r="AA9" s="138">
        <v>36.903200521492003</v>
      </c>
      <c r="AB9" s="138">
        <v>5056.3276149004396</v>
      </c>
      <c r="AC9" s="138">
        <v>75.873803816084802</v>
      </c>
      <c r="AD9" s="138">
        <v>49.453868664600897</v>
      </c>
      <c r="AE9" s="138">
        <v>8.6338128914689491</v>
      </c>
      <c r="AF9" s="138">
        <v>16.151232787561099</v>
      </c>
      <c r="AG9" s="138">
        <v>11.1260700382377</v>
      </c>
      <c r="AH9" s="138">
        <v>64.541886523120795</v>
      </c>
      <c r="AI9" s="138">
        <v>182.61041970892899</v>
      </c>
      <c r="AJ9" s="138">
        <v>160.042243655497</v>
      </c>
      <c r="AK9" s="138">
        <v>30.503025463891799</v>
      </c>
      <c r="AL9" s="138">
        <v>139.22834915020701</v>
      </c>
      <c r="AM9" s="139">
        <v>21.665331140285399</v>
      </c>
      <c r="AN9" s="139">
        <v>0.517879113071957</v>
      </c>
      <c r="AO9" s="139">
        <v>6.2258605670596099</v>
      </c>
      <c r="AP9" s="139">
        <v>0.761724765490288</v>
      </c>
      <c r="AQ9" s="139">
        <v>8.3319715649768398</v>
      </c>
      <c r="AR9" s="138">
        <v>673.68507483469398</v>
      </c>
      <c r="AS9" s="139">
        <v>43.221678775985701</v>
      </c>
      <c r="AT9" s="139">
        <v>87.640951018138793</v>
      </c>
      <c r="AU9" s="139">
        <v>9.6548464926016599</v>
      </c>
      <c r="AV9" s="139">
        <v>36.486531513627398</v>
      </c>
      <c r="AW9" s="139">
        <v>6.8774884693268303</v>
      </c>
      <c r="AX9" s="139">
        <v>1.25347746012756</v>
      </c>
      <c r="AY9" s="139">
        <v>5.5936037387331901</v>
      </c>
      <c r="AZ9" s="139">
        <v>0.88860656303907504</v>
      </c>
      <c r="BA9" s="139">
        <v>4.9724631171076199</v>
      </c>
      <c r="BB9" s="139">
        <v>1.0344022506034201</v>
      </c>
      <c r="BC9" s="139">
        <v>1.5564662616859299</v>
      </c>
      <c r="BD9" s="139">
        <v>3.0273355982844201</v>
      </c>
      <c r="BE9" s="139">
        <v>3.0915799085149702</v>
      </c>
      <c r="BF9" s="139">
        <v>0.42377799252352599</v>
      </c>
      <c r="BG9" s="139">
        <v>4.1450438287542797</v>
      </c>
      <c r="BH9" s="139">
        <v>1.1931014132003599</v>
      </c>
      <c r="BI9" s="139">
        <v>23.239268022229599</v>
      </c>
      <c r="BJ9" s="139">
        <v>13.5930583181958</v>
      </c>
      <c r="BK9" s="140">
        <v>2.5888535640635002</v>
      </c>
      <c r="BL9" s="141">
        <v>60.941404878451785</v>
      </c>
      <c r="BM9" s="142">
        <v>6.6686287874093813</v>
      </c>
      <c r="BN9" s="142">
        <v>16.561246292832525</v>
      </c>
      <c r="BO9" s="143">
        <v>15.828720041306312</v>
      </c>
      <c r="BP9" s="144">
        <f t="shared" si="0"/>
        <v>0.10942689622449671</v>
      </c>
      <c r="BQ9" s="145">
        <f t="shared" si="1"/>
        <v>0.27175688394227354</v>
      </c>
      <c r="BR9" s="149">
        <v>186.15</v>
      </c>
      <c r="BS9" s="150">
        <v>18438</v>
      </c>
      <c r="BT9" s="150">
        <v>13571</v>
      </c>
      <c r="BU9" s="150">
        <v>17903</v>
      </c>
      <c r="BV9" s="150">
        <v>535</v>
      </c>
      <c r="BW9" s="150">
        <v>23.6</v>
      </c>
      <c r="BX9" s="150">
        <v>1089.1400000000001</v>
      </c>
      <c r="BY9" s="150">
        <v>4679.8109999999997</v>
      </c>
      <c r="BZ9" s="150">
        <v>4.2967947187689361</v>
      </c>
      <c r="CA9" s="151">
        <v>1.3716748949966842E-2</v>
      </c>
      <c r="CB9" s="152">
        <v>0.97098383772643448</v>
      </c>
    </row>
    <row r="10" spans="1:80" s="13" customFormat="1">
      <c r="A10" s="55">
        <v>6</v>
      </c>
      <c r="B10" s="13" t="s">
        <v>337</v>
      </c>
      <c r="C10" s="8" t="s">
        <v>8</v>
      </c>
      <c r="D10" s="29" t="s">
        <v>6</v>
      </c>
      <c r="E10" s="13" t="s">
        <v>258</v>
      </c>
      <c r="F10" s="6">
        <v>-74.954999999999998</v>
      </c>
      <c r="G10" s="6">
        <v>-101.85299999999999</v>
      </c>
      <c r="H10" s="13">
        <v>998</v>
      </c>
      <c r="I10" s="13" t="s">
        <v>266</v>
      </c>
      <c r="J10" s="90">
        <v>0.51223079075483269</v>
      </c>
      <c r="K10" s="91">
        <v>1.3318000559625651E-5</v>
      </c>
      <c r="L10" s="81">
        <v>-7.9434073394357707</v>
      </c>
      <c r="M10" s="81">
        <v>0.35998475869207608</v>
      </c>
      <c r="N10" s="91"/>
      <c r="O10" s="92"/>
      <c r="P10" s="123"/>
      <c r="Q10" s="86"/>
      <c r="R10" s="63"/>
      <c r="S10" s="86"/>
      <c r="T10" s="86"/>
      <c r="U10" s="86"/>
      <c r="V10" s="86"/>
      <c r="W10" s="86"/>
      <c r="X10" s="87"/>
      <c r="Y10" s="73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5"/>
      <c r="AN10" s="75"/>
      <c r="AO10" s="75"/>
      <c r="AP10" s="75"/>
      <c r="AQ10" s="75"/>
      <c r="AR10" s="74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6"/>
      <c r="BL10" s="125"/>
      <c r="BM10" s="58"/>
      <c r="BN10" s="58"/>
      <c r="BO10" s="59"/>
      <c r="BP10" s="115"/>
      <c r="BQ10" s="126"/>
      <c r="BR10" s="65"/>
      <c r="BS10" s="66"/>
      <c r="BT10" s="66"/>
      <c r="BU10" s="66"/>
      <c r="BV10" s="66"/>
      <c r="BW10" s="66"/>
      <c r="BX10" s="66"/>
      <c r="BY10" s="66"/>
      <c r="BZ10" s="66"/>
      <c r="CA10" s="113"/>
      <c r="CB10" s="114"/>
    </row>
    <row r="11" spans="1:80" s="13" customFormat="1">
      <c r="A11" s="55">
        <v>7</v>
      </c>
      <c r="B11" s="13" t="s">
        <v>306</v>
      </c>
      <c r="C11" s="8">
        <v>6</v>
      </c>
      <c r="D11" s="29" t="s">
        <v>7</v>
      </c>
      <c r="E11" s="13" t="s">
        <v>257</v>
      </c>
      <c r="F11" s="6">
        <v>-74.9868764</v>
      </c>
      <c r="G11" s="6">
        <v>-101.8689328</v>
      </c>
      <c r="H11" s="13">
        <v>989</v>
      </c>
      <c r="I11" s="13" t="s">
        <v>266</v>
      </c>
      <c r="J11" s="90">
        <v>0.51229415222583974</v>
      </c>
      <c r="K11" s="91">
        <v>1.011992399057872E-5</v>
      </c>
      <c r="L11" s="81">
        <v>-6.7074187664650786</v>
      </c>
      <c r="M11" s="81">
        <v>0.28414532619164506</v>
      </c>
      <c r="N11" s="91">
        <v>0.72253313882995196</v>
      </c>
      <c r="O11" s="92">
        <v>8.2699395540436361E-6</v>
      </c>
      <c r="P11" s="123">
        <v>1.860800049412771</v>
      </c>
      <c r="Q11" s="86">
        <v>1.5967422908794615</v>
      </c>
      <c r="R11" s="63">
        <v>15.933039625399614</v>
      </c>
      <c r="S11" s="86">
        <v>0.11297334998792022</v>
      </c>
      <c r="T11" s="86">
        <v>4.0979324144027203</v>
      </c>
      <c r="U11" s="86">
        <v>0.79163573913195973</v>
      </c>
      <c r="V11" s="86">
        <v>0.78302465044807523</v>
      </c>
      <c r="W11" s="86">
        <v>5.5558783324637276E-2</v>
      </c>
      <c r="X11" s="87">
        <v>4.610248460162012</v>
      </c>
      <c r="Y11" s="73">
        <v>48.270193834475101</v>
      </c>
      <c r="Z11" s="74">
        <v>12.446570368646499</v>
      </c>
      <c r="AA11" s="74">
        <v>39.987378154746203</v>
      </c>
      <c r="AB11" s="74">
        <v>4812.9720887930798</v>
      </c>
      <c r="AC11" s="74">
        <v>72.436264871777695</v>
      </c>
      <c r="AD11" s="74">
        <v>45.315885981307197</v>
      </c>
      <c r="AE11" s="74">
        <v>8.4785680109913493</v>
      </c>
      <c r="AF11" s="74">
        <v>16.6447877883442</v>
      </c>
      <c r="AG11" s="74">
        <v>14.889490371938001</v>
      </c>
      <c r="AH11" s="74">
        <v>84.357068576225203</v>
      </c>
      <c r="AI11" s="74">
        <v>223.31039849956201</v>
      </c>
      <c r="AJ11" s="74">
        <v>147.814949224999</v>
      </c>
      <c r="AK11" s="74">
        <v>32.763533342230502</v>
      </c>
      <c r="AL11" s="74">
        <v>145.10739120588801</v>
      </c>
      <c r="AM11" s="75">
        <v>28.001569721244302</v>
      </c>
      <c r="AN11" s="75">
        <v>1.0828073174183801</v>
      </c>
      <c r="AO11" s="75">
        <v>8.9512709742777794</v>
      </c>
      <c r="AP11" s="75">
        <v>1.0318184804764801</v>
      </c>
      <c r="AQ11" s="75">
        <v>12.809318497414299</v>
      </c>
      <c r="AR11" s="74">
        <v>622.13219518549295</v>
      </c>
      <c r="AS11" s="75">
        <v>49.093607991895503</v>
      </c>
      <c r="AT11" s="75">
        <v>101.395555335181</v>
      </c>
      <c r="AU11" s="75">
        <v>11.1878060423708</v>
      </c>
      <c r="AV11" s="75">
        <v>40.640556866626703</v>
      </c>
      <c r="AW11" s="75">
        <v>7.6982855973235704</v>
      </c>
      <c r="AX11" s="75">
        <v>1.20023739456942</v>
      </c>
      <c r="AY11" s="75">
        <v>6.1054420555490996</v>
      </c>
      <c r="AZ11" s="75">
        <v>0.96202099184756396</v>
      </c>
      <c r="BA11" s="75">
        <v>5.3563294806779398</v>
      </c>
      <c r="BB11" s="75">
        <v>1.1095598632341499</v>
      </c>
      <c r="BC11" s="75">
        <v>2.08197804698273</v>
      </c>
      <c r="BD11" s="75">
        <v>3.23109276317907</v>
      </c>
      <c r="BE11" s="75">
        <v>3.3455256532809101</v>
      </c>
      <c r="BF11" s="75">
        <v>0.479140556551855</v>
      </c>
      <c r="BG11" s="75">
        <v>4.3968361910973099</v>
      </c>
      <c r="BH11" s="75">
        <v>1.54980228498159</v>
      </c>
      <c r="BI11" s="75">
        <v>29.2201530835748</v>
      </c>
      <c r="BJ11" s="75">
        <v>21.092743755475301</v>
      </c>
      <c r="BK11" s="76">
        <v>3.5797906073112902</v>
      </c>
      <c r="BL11" s="125">
        <v>55.609827725449044</v>
      </c>
      <c r="BM11" s="58">
        <v>1.5569058816924279</v>
      </c>
      <c r="BN11" s="58">
        <v>26.170593485334958</v>
      </c>
      <c r="BO11" s="59">
        <v>16.662672907523572</v>
      </c>
      <c r="BP11" s="115">
        <f>BM11/BL11</f>
        <v>2.7996955670839672E-2</v>
      </c>
      <c r="BQ11" s="126">
        <f>BN11/BL11</f>
        <v>0.47061094334874842</v>
      </c>
      <c r="BR11" s="65">
        <v>159.26</v>
      </c>
      <c r="BS11" s="66">
        <v>15408</v>
      </c>
      <c r="BT11" s="66">
        <v>9561.7999999999993</v>
      </c>
      <c r="BU11" s="66">
        <v>14832</v>
      </c>
      <c r="BV11" s="66">
        <v>576</v>
      </c>
      <c r="BW11" s="66">
        <v>26.8</v>
      </c>
      <c r="BX11" s="66">
        <v>726.14</v>
      </c>
      <c r="BY11" s="66">
        <v>4003.7963999999997</v>
      </c>
      <c r="BZ11" s="66">
        <v>5.5138078056573105</v>
      </c>
      <c r="CA11" s="113">
        <v>1.6655859775356104E-2</v>
      </c>
      <c r="CB11" s="114">
        <v>0.96261682242990654</v>
      </c>
    </row>
    <row r="12" spans="1:80" s="13" customFormat="1" ht="16.2">
      <c r="A12" s="55">
        <v>8</v>
      </c>
      <c r="B12" s="13" t="s">
        <v>323</v>
      </c>
      <c r="C12" s="8" t="s">
        <v>9</v>
      </c>
      <c r="D12" s="29" t="s">
        <v>7</v>
      </c>
      <c r="E12" s="13" t="s">
        <v>256</v>
      </c>
      <c r="F12" s="6">
        <v>-74.79983</v>
      </c>
      <c r="G12" s="6">
        <v>-102.35516</v>
      </c>
      <c r="H12" s="13">
        <v>1046</v>
      </c>
      <c r="I12" s="13" t="s">
        <v>266</v>
      </c>
      <c r="J12" s="90">
        <v>0.51226700000000003</v>
      </c>
      <c r="K12" s="91">
        <v>7.9999999999999996E-6</v>
      </c>
      <c r="L12" s="81">
        <v>-7.2447157623345415</v>
      </c>
      <c r="M12" s="81">
        <v>0.21462273898840273</v>
      </c>
      <c r="N12" s="91">
        <v>0.72395900000000002</v>
      </c>
      <c r="O12" s="92">
        <v>5.0000000000000004E-6</v>
      </c>
      <c r="P12" s="123"/>
      <c r="Q12" s="86"/>
      <c r="R12" s="63"/>
      <c r="S12" s="86"/>
      <c r="T12" s="86"/>
      <c r="U12" s="86"/>
      <c r="V12" s="86"/>
      <c r="W12" s="86"/>
      <c r="X12" s="87"/>
      <c r="Y12" s="73">
        <v>57.938927361201699</v>
      </c>
      <c r="Z12" s="74">
        <v>13.0683751919141</v>
      </c>
      <c r="AA12" s="74"/>
      <c r="AB12" s="74">
        <v>4624.0315008300604</v>
      </c>
      <c r="AC12" s="74">
        <v>80.7580826707715</v>
      </c>
      <c r="AD12" s="74">
        <v>53.360380399803901</v>
      </c>
      <c r="AE12" s="74">
        <v>9.7500969492976903</v>
      </c>
      <c r="AF12" s="74">
        <v>23.562018262454899</v>
      </c>
      <c r="AG12" s="74">
        <v>17.715564884646199</v>
      </c>
      <c r="AH12" s="74">
        <v>100.532203242896</v>
      </c>
      <c r="AI12" s="74">
        <v>213.43802123901199</v>
      </c>
      <c r="AJ12" s="74">
        <v>132.81165023775401</v>
      </c>
      <c r="AK12" s="74">
        <v>30.031457049292499</v>
      </c>
      <c r="AL12" s="74">
        <v>133.91912557703</v>
      </c>
      <c r="AM12" s="75"/>
      <c r="AN12" s="75"/>
      <c r="AO12" s="75"/>
      <c r="AP12" s="75"/>
      <c r="AQ12" s="75">
        <v>11.749998394667699</v>
      </c>
      <c r="AR12" s="74">
        <v>711.253352719193</v>
      </c>
      <c r="AS12" s="75">
        <v>44.548757307815997</v>
      </c>
      <c r="AT12" s="75">
        <v>91.862633998713093</v>
      </c>
      <c r="AU12" s="75">
        <v>9.7586735790490593</v>
      </c>
      <c r="AV12" s="75">
        <v>36.766222068477497</v>
      </c>
      <c r="AW12" s="75">
        <v>6.6931314378692397</v>
      </c>
      <c r="AX12" s="75">
        <v>1.19390317741101</v>
      </c>
      <c r="AY12" s="75">
        <v>5.5204813844124798</v>
      </c>
      <c r="AZ12" s="75">
        <v>0.86578153953437298</v>
      </c>
      <c r="BA12" s="75">
        <v>4.95826022608082</v>
      </c>
      <c r="BB12" s="75">
        <v>1.0208003694641199</v>
      </c>
      <c r="BC12" s="75"/>
      <c r="BD12" s="75">
        <v>2.9606349759612098</v>
      </c>
      <c r="BE12" s="75">
        <v>2.8292464891828302</v>
      </c>
      <c r="BF12" s="75">
        <v>0.41952557013011399</v>
      </c>
      <c r="BG12" s="75">
        <v>3.62058286405667</v>
      </c>
      <c r="BH12" s="75"/>
      <c r="BI12" s="75">
        <v>27.121601191125201</v>
      </c>
      <c r="BJ12" s="75">
        <v>19.5547673388369</v>
      </c>
      <c r="BK12" s="76">
        <v>3.1032703556229402</v>
      </c>
      <c r="BL12" s="125">
        <v>58.784273211974401</v>
      </c>
      <c r="BM12" s="58">
        <v>6.2965337893199385</v>
      </c>
      <c r="BN12" s="58">
        <v>19.222371663305395</v>
      </c>
      <c r="BO12" s="59">
        <v>15.696821335400269</v>
      </c>
      <c r="BP12" s="115">
        <f>BM12/BL12</f>
        <v>0.10711255656108597</v>
      </c>
      <c r="BQ12" s="126">
        <f>BN12/BL12</f>
        <v>0.32699854251816768</v>
      </c>
      <c r="BR12" s="65">
        <v>180.15</v>
      </c>
      <c r="BS12" s="66">
        <v>11452</v>
      </c>
      <c r="BT12" s="66">
        <v>6658.2</v>
      </c>
      <c r="BU12" s="66">
        <v>10964</v>
      </c>
      <c r="BV12" s="66">
        <v>488</v>
      </c>
      <c r="BW12" s="66">
        <v>27.9</v>
      </c>
      <c r="BX12" s="66">
        <v>330.14</v>
      </c>
      <c r="BY12" s="66">
        <v>4528.9710000000005</v>
      </c>
      <c r="BZ12" s="66">
        <v>13.718334645907799</v>
      </c>
      <c r="CA12" s="113">
        <v>2.7056862215013067E-2</v>
      </c>
      <c r="CB12" s="114">
        <v>0.95738735592036328</v>
      </c>
    </row>
    <row r="13" spans="1:80" s="13" customFormat="1">
      <c r="A13" s="55">
        <v>9</v>
      </c>
      <c r="B13" s="13" t="s">
        <v>307</v>
      </c>
      <c r="C13" s="8">
        <v>5</v>
      </c>
      <c r="D13" s="29" t="s">
        <v>7</v>
      </c>
      <c r="E13" s="13" t="s">
        <v>257</v>
      </c>
      <c r="F13" s="6">
        <v>-74.683657499999995</v>
      </c>
      <c r="G13" s="6">
        <v>-101.6220223</v>
      </c>
      <c r="H13" s="13">
        <v>358</v>
      </c>
      <c r="I13" s="13" t="s">
        <v>266</v>
      </c>
      <c r="J13" s="90">
        <v>0.51225681124182909</v>
      </c>
      <c r="K13" s="91">
        <v>1.0579960990293679E-5</v>
      </c>
      <c r="L13" s="81">
        <v>-7.4358271952323918</v>
      </c>
      <c r="M13" s="81">
        <v>0.26032180915585584</v>
      </c>
      <c r="N13" s="91">
        <v>0.72262250321778887</v>
      </c>
      <c r="O13" s="92">
        <v>7.3004383255689872E-6</v>
      </c>
      <c r="P13" s="123">
        <v>1.4246855262444302</v>
      </c>
      <c r="Q13" s="86">
        <v>1.8155110196529036</v>
      </c>
      <c r="R13" s="63">
        <v>14.364737002161815</v>
      </c>
      <c r="S13" s="86">
        <v>6.9923999709569903E-2</v>
      </c>
      <c r="T13" s="86">
        <v>3.9767093253219499</v>
      </c>
      <c r="U13" s="86">
        <v>0.81215964703722221</v>
      </c>
      <c r="V13" s="86">
        <v>0.92633060976190851</v>
      </c>
      <c r="W13" s="86">
        <v>5.460640370509702E-2</v>
      </c>
      <c r="X13" s="87">
        <v>5.0397919272064069</v>
      </c>
      <c r="Y13" s="73">
        <v>44.659080426241601</v>
      </c>
      <c r="Z13" s="74">
        <v>12.4912437567681</v>
      </c>
      <c r="AA13" s="74">
        <v>45.959585962070499</v>
      </c>
      <c r="AB13" s="74">
        <v>5555.2414344961599</v>
      </c>
      <c r="AC13" s="74">
        <v>82.857135091628294</v>
      </c>
      <c r="AD13" s="74">
        <v>69.583401933804694</v>
      </c>
      <c r="AE13" s="74">
        <v>11.0106822303062</v>
      </c>
      <c r="AF13" s="74">
        <v>24.046231580428799</v>
      </c>
      <c r="AG13" s="74">
        <v>14.493771664216199</v>
      </c>
      <c r="AH13" s="74">
        <v>78.465636600447297</v>
      </c>
      <c r="AI13" s="74">
        <v>194.26816679136201</v>
      </c>
      <c r="AJ13" s="74">
        <v>123.52744897706501</v>
      </c>
      <c r="AK13" s="74">
        <v>29.865297019852399</v>
      </c>
      <c r="AL13" s="74">
        <v>153.85067845006401</v>
      </c>
      <c r="AM13" s="75">
        <v>23.749273177052601</v>
      </c>
      <c r="AN13" s="75">
        <v>0.50428259295525901</v>
      </c>
      <c r="AO13" s="75">
        <v>7.0859470516698204</v>
      </c>
      <c r="AP13" s="75">
        <v>0.92394914808387896</v>
      </c>
      <c r="AQ13" s="75">
        <v>10.319129450015099</v>
      </c>
      <c r="AR13" s="74">
        <v>640.20813811605501</v>
      </c>
      <c r="AS13" s="75">
        <v>41.076132991179698</v>
      </c>
      <c r="AT13" s="75">
        <v>86.581043254830405</v>
      </c>
      <c r="AU13" s="75">
        <v>9.0479590654410895</v>
      </c>
      <c r="AV13" s="75">
        <v>34.150648989203397</v>
      </c>
      <c r="AW13" s="75">
        <v>6.5260744740523897</v>
      </c>
      <c r="AX13" s="75">
        <v>1.13987984665526</v>
      </c>
      <c r="AY13" s="75">
        <v>5.3590829021083799</v>
      </c>
      <c r="AZ13" s="75">
        <v>0.855700036404349</v>
      </c>
      <c r="BA13" s="75">
        <v>4.8266104039675</v>
      </c>
      <c r="BB13" s="75">
        <v>1.00558279500057</v>
      </c>
      <c r="BC13" s="75">
        <v>1.71596550998328</v>
      </c>
      <c r="BD13" s="75">
        <v>2.9271033837442002</v>
      </c>
      <c r="BE13" s="75">
        <v>2.98464250850845</v>
      </c>
      <c r="BF13" s="75">
        <v>0.42330539730757399</v>
      </c>
      <c r="BG13" s="75">
        <v>4.5526700475884203</v>
      </c>
      <c r="BH13" s="75">
        <v>1.29939366253253</v>
      </c>
      <c r="BI13" s="75">
        <v>28.181041942848299</v>
      </c>
      <c r="BJ13" s="75">
        <v>15.1391505900392</v>
      </c>
      <c r="BK13" s="76">
        <v>2.8015105824677602</v>
      </c>
      <c r="BL13" s="125">
        <v>60.759314760027884</v>
      </c>
      <c r="BM13" s="58">
        <v>7.4611235853996218</v>
      </c>
      <c r="BN13" s="58">
        <v>16.624527271057339</v>
      </c>
      <c r="BO13" s="59">
        <v>15.155034383515158</v>
      </c>
      <c r="BP13" s="115">
        <f t="shared" si="0"/>
        <v>0.12279802059762726</v>
      </c>
      <c r="BQ13" s="126">
        <f t="shared" si="1"/>
        <v>0.27361281700948709</v>
      </c>
      <c r="BR13" s="65">
        <v>257.31</v>
      </c>
      <c r="BS13" s="66">
        <v>21645</v>
      </c>
      <c r="BT13" s="66">
        <v>14412</v>
      </c>
      <c r="BU13" s="66">
        <v>20826</v>
      </c>
      <c r="BV13" s="66">
        <v>819</v>
      </c>
      <c r="BW13" s="66">
        <v>24.9</v>
      </c>
      <c r="BX13" s="66">
        <v>775.14</v>
      </c>
      <c r="BY13" s="66">
        <v>6468.7734</v>
      </c>
      <c r="BZ13" s="66">
        <v>8.3452968496013629</v>
      </c>
      <c r="CA13" s="113">
        <v>1.7853871773522066E-2</v>
      </c>
      <c r="CB13" s="114">
        <v>0.96216216216216222</v>
      </c>
    </row>
    <row r="14" spans="1:80" s="13" customFormat="1">
      <c r="A14" s="55">
        <v>10</v>
      </c>
      <c r="B14" s="13" t="s">
        <v>336</v>
      </c>
      <c r="C14" s="8" t="s">
        <v>21</v>
      </c>
      <c r="D14" s="29" t="s">
        <v>22</v>
      </c>
      <c r="E14" s="13" t="s">
        <v>260</v>
      </c>
      <c r="F14" s="6">
        <v>-74.619</v>
      </c>
      <c r="G14" s="6">
        <v>-101.9187</v>
      </c>
      <c r="H14" s="13">
        <v>438</v>
      </c>
      <c r="I14" s="13" t="s">
        <v>266</v>
      </c>
      <c r="J14" s="90">
        <v>0.51253140749349291</v>
      </c>
      <c r="K14" s="91">
        <v>7.1754397049089011E-6</v>
      </c>
      <c r="L14" s="81">
        <v>-2.0792938975866537</v>
      </c>
      <c r="M14" s="81">
        <v>0.31734341243432285</v>
      </c>
      <c r="N14" s="91"/>
      <c r="O14" s="92"/>
      <c r="P14" s="123"/>
      <c r="Q14" s="86"/>
      <c r="R14" s="63"/>
      <c r="S14" s="86"/>
      <c r="T14" s="86"/>
      <c r="U14" s="86"/>
      <c r="V14" s="86"/>
      <c r="W14" s="86"/>
      <c r="X14" s="87"/>
      <c r="Y14" s="73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5"/>
      <c r="AN14" s="75"/>
      <c r="AO14" s="75"/>
      <c r="AP14" s="75"/>
      <c r="AQ14" s="75"/>
      <c r="AR14" s="74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6"/>
      <c r="BL14" s="125"/>
      <c r="BM14" s="58"/>
      <c r="BN14" s="58"/>
      <c r="BO14" s="59"/>
      <c r="BP14" s="115"/>
      <c r="BQ14" s="126"/>
      <c r="BR14" s="65"/>
      <c r="BS14" s="66"/>
      <c r="BT14" s="66"/>
      <c r="BU14" s="66"/>
      <c r="BV14" s="66"/>
      <c r="BW14" s="66"/>
      <c r="BX14" s="66"/>
      <c r="BY14" s="66"/>
      <c r="BZ14" s="66"/>
      <c r="CA14" s="113"/>
      <c r="CB14" s="114"/>
    </row>
    <row r="15" spans="1:80" s="13" customFormat="1">
      <c r="A15" s="55">
        <v>11</v>
      </c>
      <c r="B15" s="13" t="s">
        <v>308</v>
      </c>
      <c r="C15" s="8">
        <v>1</v>
      </c>
      <c r="D15" s="29" t="s">
        <v>7</v>
      </c>
      <c r="E15" s="13" t="s">
        <v>256</v>
      </c>
      <c r="F15" s="6">
        <v>-74.563833000000002</v>
      </c>
      <c r="G15" s="6">
        <v>-102.624</v>
      </c>
      <c r="H15" s="13">
        <v>336</v>
      </c>
      <c r="I15" s="13" t="s">
        <v>266</v>
      </c>
      <c r="J15" s="90">
        <v>0.5122839111419083</v>
      </c>
      <c r="K15" s="91">
        <v>8.9999668159398032E-6</v>
      </c>
      <c r="L15" s="81">
        <v>-6.9071910020668259</v>
      </c>
      <c r="M15" s="81">
        <v>0.26032180915585584</v>
      </c>
      <c r="N15" s="91">
        <v>0.71810231570128824</v>
      </c>
      <c r="O15" s="92">
        <v>6.90398295867818E-6</v>
      </c>
      <c r="P15" s="123">
        <v>1.7558076580414683</v>
      </c>
      <c r="Q15" s="86">
        <v>1.7463106451643822</v>
      </c>
      <c r="R15" s="63">
        <v>15.756717350972284</v>
      </c>
      <c r="S15" s="86">
        <v>7.3517100302220792E-2</v>
      </c>
      <c r="T15" s="86">
        <v>3.9966077477894513</v>
      </c>
      <c r="U15" s="86">
        <v>0.98729627239488926</v>
      </c>
      <c r="V15" s="86">
        <v>0.83873733408630113</v>
      </c>
      <c r="W15" s="86">
        <v>5.7306357068222957E-2</v>
      </c>
      <c r="X15" s="87">
        <v>5.0269997913648092</v>
      </c>
      <c r="Y15" s="73">
        <v>45.1102864506624</v>
      </c>
      <c r="Z15" s="74">
        <v>13.537644940447199</v>
      </c>
      <c r="AA15" s="74">
        <v>73.255089711127198</v>
      </c>
      <c r="AB15" s="74">
        <v>5247.3066447945403</v>
      </c>
      <c r="AC15" s="74">
        <v>79.445867235397799</v>
      </c>
      <c r="AD15" s="74">
        <v>60.849597640059201</v>
      </c>
      <c r="AE15" s="74">
        <v>10.5521228639178</v>
      </c>
      <c r="AF15" s="74">
        <v>22.847839990032199</v>
      </c>
      <c r="AG15" s="74">
        <v>14.7027664853182</v>
      </c>
      <c r="AH15" s="74">
        <v>82.845317392440904</v>
      </c>
      <c r="AI15" s="74">
        <v>189.290810267078</v>
      </c>
      <c r="AJ15" s="74">
        <v>156.961360092587</v>
      </c>
      <c r="AK15" s="74">
        <v>30.208241014044599</v>
      </c>
      <c r="AL15" s="74">
        <v>149.95127302039</v>
      </c>
      <c r="AM15" s="75">
        <v>22.884247293304199</v>
      </c>
      <c r="AN15" s="75">
        <v>0.52864056754823396</v>
      </c>
      <c r="AO15" s="75">
        <v>6.59078710821007</v>
      </c>
      <c r="AP15" s="75">
        <v>0.86673458316030905</v>
      </c>
      <c r="AQ15" s="75">
        <v>9.9193846403950499</v>
      </c>
      <c r="AR15" s="74">
        <v>684.277895279213</v>
      </c>
      <c r="AS15" s="75">
        <v>49.4239259034117</v>
      </c>
      <c r="AT15" s="75">
        <v>99.447989144015494</v>
      </c>
      <c r="AU15" s="75">
        <v>11.2012509722496</v>
      </c>
      <c r="AV15" s="75">
        <v>40.448780424743497</v>
      </c>
      <c r="AW15" s="75">
        <v>7.5129039091692702</v>
      </c>
      <c r="AX15" s="75">
        <v>1.2324119647099701</v>
      </c>
      <c r="AY15" s="75">
        <v>5.9432383537701901</v>
      </c>
      <c r="AZ15" s="75">
        <v>0.91668922350596305</v>
      </c>
      <c r="BA15" s="75">
        <v>5.0889785826052796</v>
      </c>
      <c r="BB15" s="75">
        <v>1.0496322487352401</v>
      </c>
      <c r="BC15" s="75">
        <v>1.6192678355224099</v>
      </c>
      <c r="BD15" s="75">
        <v>3.02633430044928</v>
      </c>
      <c r="BE15" s="75">
        <v>3.0586500880661101</v>
      </c>
      <c r="BF15" s="75">
        <v>0.42926422257818198</v>
      </c>
      <c r="BG15" s="75">
        <v>4.2941696122844402</v>
      </c>
      <c r="BH15" s="75">
        <v>1.2252033314012201</v>
      </c>
      <c r="BI15" s="75">
        <v>25.887860550763001</v>
      </c>
      <c r="BJ15" s="75">
        <v>17.659582599470902</v>
      </c>
      <c r="BK15" s="76">
        <v>2.7533061709556401</v>
      </c>
      <c r="BL15" s="125">
        <v>60.304149341397462</v>
      </c>
      <c r="BM15" s="58">
        <v>7.6368817423163033</v>
      </c>
      <c r="BN15" s="58">
        <v>16.376568456797401</v>
      </c>
      <c r="BO15" s="59">
        <v>15.682400459488836</v>
      </c>
      <c r="BP15" s="115">
        <f t="shared" si="0"/>
        <v>0.12663940749884275</v>
      </c>
      <c r="BQ15" s="126">
        <f t="shared" si="1"/>
        <v>0.27156619628419582</v>
      </c>
      <c r="BR15" s="65">
        <v>174.07</v>
      </c>
      <c r="BS15" s="66">
        <v>14204</v>
      </c>
      <c r="BT15" s="66">
        <v>10111</v>
      </c>
      <c r="BU15" s="66">
        <v>13633</v>
      </c>
      <c r="BV15" s="66">
        <v>571</v>
      </c>
      <c r="BW15" s="66">
        <v>26.2</v>
      </c>
      <c r="BX15" s="66">
        <v>1133.1400000000001</v>
      </c>
      <c r="BY15" s="66">
        <v>4376.1197999999995</v>
      </c>
      <c r="BZ15" s="66">
        <v>3.8619409781668628</v>
      </c>
      <c r="CA15" s="113">
        <v>1.7215903471466718E-2</v>
      </c>
      <c r="CB15" s="114">
        <v>0.95980005632216281</v>
      </c>
    </row>
    <row r="16" spans="1:80" s="13" customFormat="1">
      <c r="A16" s="121">
        <v>12</v>
      </c>
      <c r="B16" s="12" t="s">
        <v>309</v>
      </c>
      <c r="C16" s="14">
        <v>4</v>
      </c>
      <c r="D16" s="31" t="s">
        <v>7</v>
      </c>
      <c r="E16" s="12" t="s">
        <v>255</v>
      </c>
      <c r="F16" s="7">
        <v>-74.415800000000004</v>
      </c>
      <c r="G16" s="7">
        <v>-102.9913</v>
      </c>
      <c r="H16" s="12">
        <v>772</v>
      </c>
      <c r="I16" s="12" t="s">
        <v>266</v>
      </c>
      <c r="J16" s="97">
        <v>0.51227161118725995</v>
      </c>
      <c r="K16" s="98">
        <v>1.077996025287012E-5</v>
      </c>
      <c r="L16" s="82">
        <v>-7.1471255104005316</v>
      </c>
      <c r="M16" s="82">
        <v>0.26032180915585584</v>
      </c>
      <c r="N16" s="98">
        <v>0.72126713692993449</v>
      </c>
      <c r="O16" s="99">
        <v>6.7346610755232491E-6</v>
      </c>
      <c r="P16" s="124">
        <v>1.419695646627624</v>
      </c>
      <c r="Q16" s="88">
        <v>1.9634278702126782</v>
      </c>
      <c r="R16" s="64">
        <v>15.064655384119478</v>
      </c>
      <c r="S16" s="88">
        <v>7.2805669615220794E-2</v>
      </c>
      <c r="T16" s="88">
        <v>4.1080662885993915</v>
      </c>
      <c r="U16" s="88">
        <v>0.70501056922249805</v>
      </c>
      <c r="V16" s="88">
        <v>0.85691469170028589</v>
      </c>
      <c r="W16" s="88">
        <v>6.1621908225289353E-2</v>
      </c>
      <c r="X16" s="89">
        <v>5.5041945671975361</v>
      </c>
      <c r="Y16" s="77">
        <v>50.984976891196702</v>
      </c>
      <c r="Z16" s="78">
        <v>12.687783927076101</v>
      </c>
      <c r="AA16" s="78">
        <v>126.052367831067</v>
      </c>
      <c r="AB16" s="78">
        <v>5314.8241689589404</v>
      </c>
      <c r="AC16" s="78">
        <v>88.115942248569198</v>
      </c>
      <c r="AD16" s="78">
        <v>58.901083017702</v>
      </c>
      <c r="AE16" s="78">
        <v>11.542019457145299</v>
      </c>
      <c r="AF16" s="78">
        <v>22.8272086024987</v>
      </c>
      <c r="AG16" s="78">
        <v>21.792439237701501</v>
      </c>
      <c r="AH16" s="78">
        <v>100.754452924353</v>
      </c>
      <c r="AI16" s="78">
        <v>202.88428558495599</v>
      </c>
      <c r="AJ16" s="78">
        <v>128.836274475468</v>
      </c>
      <c r="AK16" s="78">
        <v>24.894444160399001</v>
      </c>
      <c r="AL16" s="78">
        <v>137.49648546456999</v>
      </c>
      <c r="AM16" s="79">
        <v>23.5579879463249</v>
      </c>
      <c r="AN16" s="79">
        <v>2.1372986986639901</v>
      </c>
      <c r="AO16" s="79">
        <v>7.5330023117456104</v>
      </c>
      <c r="AP16" s="79">
        <v>1.10485941311948</v>
      </c>
      <c r="AQ16" s="79">
        <v>11.4739066622422</v>
      </c>
      <c r="AR16" s="78">
        <v>682.15532952603996</v>
      </c>
      <c r="AS16" s="79">
        <v>41.564901649205297</v>
      </c>
      <c r="AT16" s="79">
        <v>92.583842873363594</v>
      </c>
      <c r="AU16" s="79">
        <v>8.8207101341862</v>
      </c>
      <c r="AV16" s="79">
        <v>32.588964751934199</v>
      </c>
      <c r="AW16" s="79">
        <v>5.9986417560670597</v>
      </c>
      <c r="AX16" s="79">
        <v>1.0260566692022901</v>
      </c>
      <c r="AY16" s="79">
        <v>4.8085771932578796</v>
      </c>
      <c r="AZ16" s="79">
        <v>0.756872326745479</v>
      </c>
      <c r="BA16" s="79">
        <v>4.2194222853479104</v>
      </c>
      <c r="BB16" s="79">
        <v>0.87239874336578704</v>
      </c>
      <c r="BC16" s="79">
        <v>1.6616529004377401</v>
      </c>
      <c r="BD16" s="79">
        <v>2.4939124284374299</v>
      </c>
      <c r="BE16" s="79">
        <v>2.54979138787259</v>
      </c>
      <c r="BF16" s="79">
        <v>0.359611155276993</v>
      </c>
      <c r="BG16" s="79">
        <v>3.87483067225013</v>
      </c>
      <c r="BH16" s="79">
        <v>1.29596105524844</v>
      </c>
      <c r="BI16" s="79">
        <v>27.2444210405653</v>
      </c>
      <c r="BJ16" s="79">
        <v>15.791633259461699</v>
      </c>
      <c r="BK16" s="80">
        <v>2.8136274962411099</v>
      </c>
      <c r="BL16" s="127">
        <v>61.989941265431014</v>
      </c>
      <c r="BM16" s="60">
        <v>10.289452396862801</v>
      </c>
      <c r="BN16" s="60">
        <v>13.871773838167938</v>
      </c>
      <c r="BO16" s="61">
        <v>13.848832499538249</v>
      </c>
      <c r="BP16" s="116">
        <f t="shared" si="0"/>
        <v>0.16598583877995643</v>
      </c>
      <c r="BQ16" s="128">
        <f t="shared" si="1"/>
        <v>0.22377459237735395</v>
      </c>
      <c r="BR16" s="67">
        <v>126.14</v>
      </c>
      <c r="BS16" s="68">
        <v>7315</v>
      </c>
      <c r="BT16" s="68">
        <v>4815.8</v>
      </c>
      <c r="BU16" s="68">
        <v>7029</v>
      </c>
      <c r="BV16" s="68">
        <v>286</v>
      </c>
      <c r="BW16" s="68">
        <v>27.5</v>
      </c>
      <c r="BX16" s="68">
        <v>229.14</v>
      </c>
      <c r="BY16" s="68">
        <v>3171.1596</v>
      </c>
      <c r="BZ16" s="68">
        <v>13.839397748101598</v>
      </c>
      <c r="CA16" s="111">
        <v>2.6192948212135053E-2</v>
      </c>
      <c r="CB16" s="112">
        <v>0.9609022556390977</v>
      </c>
    </row>
    <row r="17" spans="1:80" s="13" customFormat="1">
      <c r="A17" s="132">
        <v>13</v>
      </c>
      <c r="B17" s="35" t="s">
        <v>310</v>
      </c>
      <c r="C17" s="16">
        <v>4</v>
      </c>
      <c r="D17" s="54" t="s">
        <v>7</v>
      </c>
      <c r="E17" s="35" t="s">
        <v>254</v>
      </c>
      <c r="F17" s="36">
        <v>-74.478899999999996</v>
      </c>
      <c r="G17" s="36">
        <v>-104.1015</v>
      </c>
      <c r="H17" s="35">
        <v>1151</v>
      </c>
      <c r="I17" s="35" t="s">
        <v>267</v>
      </c>
      <c r="J17" s="93">
        <v>0.5123349109538653</v>
      </c>
      <c r="K17" s="94">
        <v>1.0379961727717241E-5</v>
      </c>
      <c r="L17" s="95">
        <v>-5.9123406016481361</v>
      </c>
      <c r="M17" s="95">
        <v>0.26032180915585584</v>
      </c>
      <c r="N17" s="94">
        <v>0.7173537641740706</v>
      </c>
      <c r="O17" s="96">
        <v>7.092075476130891E-6</v>
      </c>
      <c r="P17" s="133">
        <v>1.6263559156436991</v>
      </c>
      <c r="Q17" s="134">
        <v>2.0515628088303921</v>
      </c>
      <c r="R17" s="135">
        <v>16.487610950132691</v>
      </c>
      <c r="S17" s="134">
        <v>8.3432728966968905E-2</v>
      </c>
      <c r="T17" s="134">
        <v>3.9592872689401473</v>
      </c>
      <c r="U17" s="134">
        <v>0.9912788547755863</v>
      </c>
      <c r="V17" s="134">
        <v>0.88061364477606463</v>
      </c>
      <c r="W17" s="134">
        <v>6.9644478386978903E-2</v>
      </c>
      <c r="X17" s="136">
        <v>5.588047221484099</v>
      </c>
      <c r="Y17" s="137">
        <v>51.679993574075603</v>
      </c>
      <c r="Z17" s="138">
        <v>15.1676129669553</v>
      </c>
      <c r="AA17" s="138">
        <v>147.581962148364</v>
      </c>
      <c r="AB17" s="138">
        <v>5353.7037314386298</v>
      </c>
      <c r="AC17" s="138">
        <v>93.484141426853398</v>
      </c>
      <c r="AD17" s="138">
        <v>56.631828720300497</v>
      </c>
      <c r="AE17" s="138">
        <v>11.7207895390614</v>
      </c>
      <c r="AF17" s="138">
        <v>32.430137839099601</v>
      </c>
      <c r="AG17" s="138">
        <v>27.4625003378104</v>
      </c>
      <c r="AH17" s="138">
        <v>111.055303294843</v>
      </c>
      <c r="AI17" s="138">
        <v>200.606097513473</v>
      </c>
      <c r="AJ17" s="138">
        <v>157.20373250281199</v>
      </c>
      <c r="AK17" s="138">
        <v>30.823260012890699</v>
      </c>
      <c r="AL17" s="138">
        <v>165.39963516234599</v>
      </c>
      <c r="AM17" s="139">
        <v>26.778705969020798</v>
      </c>
      <c r="AN17" s="139">
        <v>1.8872067739526599</v>
      </c>
      <c r="AO17" s="139">
        <v>7.8170236681845999</v>
      </c>
      <c r="AP17" s="139">
        <v>1.17679124824138</v>
      </c>
      <c r="AQ17" s="139">
        <v>11.897293767867</v>
      </c>
      <c r="AR17" s="138">
        <v>679.54151752066298</v>
      </c>
      <c r="AS17" s="139">
        <v>45.943341053025598</v>
      </c>
      <c r="AT17" s="139">
        <v>95.889762878659695</v>
      </c>
      <c r="AU17" s="139">
        <v>10.2714684411176</v>
      </c>
      <c r="AV17" s="139">
        <v>38.188045706993897</v>
      </c>
      <c r="AW17" s="139">
        <v>7.2529227601733997</v>
      </c>
      <c r="AX17" s="139">
        <v>1.2597244048023899</v>
      </c>
      <c r="AY17" s="139">
        <v>5.8812299526076899</v>
      </c>
      <c r="AZ17" s="139">
        <v>0.92850481059811296</v>
      </c>
      <c r="BA17" s="139">
        <v>5.2073409758286697</v>
      </c>
      <c r="BB17" s="139">
        <v>1.0865028513086401</v>
      </c>
      <c r="BC17" s="139">
        <v>1.90052208773721</v>
      </c>
      <c r="BD17" s="139">
        <v>3.0931518597504102</v>
      </c>
      <c r="BE17" s="139">
        <v>3.18002032842403</v>
      </c>
      <c r="BF17" s="139">
        <v>0.44195690286192102</v>
      </c>
      <c r="BG17" s="139">
        <v>4.3875765968142497</v>
      </c>
      <c r="BH17" s="139">
        <v>1.2852962976161499</v>
      </c>
      <c r="BI17" s="139">
        <v>29.194045858112201</v>
      </c>
      <c r="BJ17" s="139">
        <v>17.273726932730899</v>
      </c>
      <c r="BK17" s="140">
        <v>2.8341441212307501</v>
      </c>
      <c r="BL17" s="141">
        <v>53.215434836570388</v>
      </c>
      <c r="BM17" s="142">
        <v>12.722640351822102</v>
      </c>
      <c r="BN17" s="142">
        <v>17.159956239189992</v>
      </c>
      <c r="BO17" s="143">
        <v>16.901968572417516</v>
      </c>
      <c r="BP17" s="144">
        <f t="shared" si="0"/>
        <v>0.23907801168767162</v>
      </c>
      <c r="BQ17" s="145">
        <f t="shared" si="1"/>
        <v>0.32246201298344801</v>
      </c>
      <c r="BR17" s="149">
        <v>187.48</v>
      </c>
      <c r="BS17" s="150">
        <v>9891.1</v>
      </c>
      <c r="BT17" s="150">
        <v>6000.8</v>
      </c>
      <c r="BU17" s="150">
        <v>9521.7999999999993</v>
      </c>
      <c r="BV17" s="150">
        <v>369.30000000000109</v>
      </c>
      <c r="BW17" s="150">
        <v>27.6</v>
      </c>
      <c r="BX17" s="150">
        <v>286.74</v>
      </c>
      <c r="BY17" s="150">
        <v>4713.2471999999989</v>
      </c>
      <c r="BZ17" s="150">
        <v>16.437355095208197</v>
      </c>
      <c r="CA17" s="151">
        <v>3.1242500999866682E-2</v>
      </c>
      <c r="CB17" s="152">
        <v>0.96266340447472964</v>
      </c>
    </row>
    <row r="18" spans="1:80" s="13" customFormat="1" ht="16.2">
      <c r="A18" s="55">
        <v>14</v>
      </c>
      <c r="B18" s="13" t="s">
        <v>326</v>
      </c>
      <c r="C18" s="8" t="s">
        <v>10</v>
      </c>
      <c r="D18" s="29" t="s">
        <v>11</v>
      </c>
      <c r="E18" s="13" t="s">
        <v>270</v>
      </c>
      <c r="F18" s="6">
        <v>-74.4833</v>
      </c>
      <c r="G18" s="6">
        <v>-104.4166</v>
      </c>
      <c r="H18" s="13">
        <v>1120</v>
      </c>
      <c r="I18" s="13" t="s">
        <v>267</v>
      </c>
      <c r="J18" s="90">
        <v>0.51232900000000003</v>
      </c>
      <c r="K18" s="91">
        <v>9.5999417634338394E-6</v>
      </c>
      <c r="L18" s="81">
        <v>-6.0347128331139643</v>
      </c>
      <c r="M18" s="81">
        <v>0.27922861799999998</v>
      </c>
      <c r="N18" s="91">
        <v>0.71879499999999996</v>
      </c>
      <c r="O18" s="92">
        <v>6.0000000000000002E-6</v>
      </c>
      <c r="P18" s="123"/>
      <c r="Q18" s="86"/>
      <c r="R18" s="63"/>
      <c r="S18" s="86"/>
      <c r="T18" s="86"/>
      <c r="U18" s="86"/>
      <c r="V18" s="86"/>
      <c r="W18" s="86"/>
      <c r="X18" s="87"/>
      <c r="Y18" s="73">
        <v>50.474092418937801</v>
      </c>
      <c r="Z18" s="74">
        <v>14.2802533009587</v>
      </c>
      <c r="AA18" s="74"/>
      <c r="AB18" s="74">
        <v>4745.03186261883</v>
      </c>
      <c r="AC18" s="74">
        <v>84.394607270224</v>
      </c>
      <c r="AD18" s="74">
        <v>53.983777508094697</v>
      </c>
      <c r="AE18" s="74">
        <v>10.5752888139798</v>
      </c>
      <c r="AF18" s="74">
        <v>22.540720714698701</v>
      </c>
      <c r="AG18" s="74">
        <v>23.515539675889698</v>
      </c>
      <c r="AH18" s="74">
        <v>112.320230064985</v>
      </c>
      <c r="AI18" s="74">
        <v>202.52116797251199</v>
      </c>
      <c r="AJ18" s="74">
        <v>150.32684490119399</v>
      </c>
      <c r="AK18" s="74">
        <v>30.357168552762602</v>
      </c>
      <c r="AL18" s="74">
        <v>136.744350641262</v>
      </c>
      <c r="AM18" s="75"/>
      <c r="AN18" s="75"/>
      <c r="AO18" s="75"/>
      <c r="AP18" s="75"/>
      <c r="AQ18" s="75">
        <v>12.391036968870701</v>
      </c>
      <c r="AR18" s="74">
        <v>731.57661507783098</v>
      </c>
      <c r="AS18" s="75">
        <v>47.0288241197281</v>
      </c>
      <c r="AT18" s="75">
        <v>96.730509903642698</v>
      </c>
      <c r="AU18" s="75">
        <v>10.284280804154999</v>
      </c>
      <c r="AV18" s="75">
        <v>38.6099137906712</v>
      </c>
      <c r="AW18" s="75">
        <v>7.12629002728284</v>
      </c>
      <c r="AX18" s="75">
        <v>1.2288062718667701</v>
      </c>
      <c r="AY18" s="75">
        <v>5.7262229175261199</v>
      </c>
      <c r="AZ18" s="75">
        <v>0.87588012332848297</v>
      </c>
      <c r="BA18" s="75">
        <v>5.0347453744018402</v>
      </c>
      <c r="BB18" s="75">
        <v>1.0366391446855501</v>
      </c>
      <c r="BC18" s="75"/>
      <c r="BD18" s="75">
        <v>2.9508973421274201</v>
      </c>
      <c r="BE18" s="75">
        <v>2.9841820217572299</v>
      </c>
      <c r="BF18" s="75">
        <v>0.43139844171028802</v>
      </c>
      <c r="BG18" s="75">
        <v>3.87705514480038</v>
      </c>
      <c r="BH18" s="75"/>
      <c r="BI18" s="75">
        <v>27.6187124487424</v>
      </c>
      <c r="BJ18" s="75">
        <v>23.8662760029022</v>
      </c>
      <c r="BK18" s="76">
        <v>3.4624411609104002</v>
      </c>
      <c r="BL18" s="125"/>
      <c r="BM18" s="58"/>
      <c r="BN18" s="58"/>
      <c r="BO18" s="59"/>
      <c r="BP18" s="115"/>
      <c r="BQ18" s="126"/>
      <c r="BR18" s="65"/>
      <c r="BS18" s="66"/>
      <c r="BT18" s="66"/>
      <c r="BU18" s="66"/>
      <c r="BV18" s="66"/>
      <c r="BW18" s="66"/>
      <c r="BX18" s="66"/>
      <c r="BY18" s="66"/>
      <c r="BZ18" s="66"/>
      <c r="CA18" s="113"/>
      <c r="CB18" s="114"/>
    </row>
    <row r="19" spans="1:80" s="13" customFormat="1">
      <c r="A19" s="55">
        <v>15</v>
      </c>
      <c r="B19" s="13" t="s">
        <v>18</v>
      </c>
      <c r="C19" s="120" t="s">
        <v>19</v>
      </c>
      <c r="D19" s="55" t="s">
        <v>6</v>
      </c>
      <c r="E19" s="13" t="s">
        <v>271</v>
      </c>
      <c r="F19" s="6">
        <v>-74.667000000000002</v>
      </c>
      <c r="G19" s="6">
        <v>-104.337</v>
      </c>
      <c r="H19" s="9">
        <v>1386</v>
      </c>
      <c r="I19" s="13" t="s">
        <v>267</v>
      </c>
      <c r="J19" s="100"/>
      <c r="K19" s="101"/>
      <c r="L19" s="102"/>
      <c r="M19" s="102"/>
      <c r="N19" s="101"/>
      <c r="O19" s="103"/>
      <c r="P19" s="123"/>
      <c r="Q19" s="86"/>
      <c r="R19" s="63"/>
      <c r="S19" s="86"/>
      <c r="T19" s="86"/>
      <c r="U19" s="86"/>
      <c r="V19" s="86"/>
      <c r="W19" s="86"/>
      <c r="X19" s="87"/>
      <c r="Y19" s="73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5"/>
      <c r="AN19" s="75"/>
      <c r="AO19" s="75"/>
      <c r="AP19" s="75"/>
      <c r="AQ19" s="75"/>
      <c r="AR19" s="74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6"/>
      <c r="BL19" s="125"/>
      <c r="BM19" s="58"/>
      <c r="BN19" s="58"/>
      <c r="BO19" s="59"/>
      <c r="BP19" s="115"/>
      <c r="BQ19" s="126"/>
      <c r="BR19" s="65"/>
      <c r="BS19" s="66"/>
      <c r="BT19" s="66"/>
      <c r="BU19" s="66"/>
      <c r="BV19" s="66"/>
      <c r="BW19" s="66"/>
      <c r="BX19" s="66"/>
      <c r="BY19" s="66"/>
      <c r="BZ19" s="66"/>
      <c r="CA19" s="113"/>
      <c r="CB19" s="114"/>
    </row>
    <row r="20" spans="1:80" s="13" customFormat="1">
      <c r="A20" s="121">
        <v>16</v>
      </c>
      <c r="B20" s="12" t="s">
        <v>311</v>
      </c>
      <c r="C20" s="14">
        <v>7</v>
      </c>
      <c r="D20" s="31" t="s">
        <v>7</v>
      </c>
      <c r="E20" s="12" t="s">
        <v>254</v>
      </c>
      <c r="F20" s="7">
        <v>-74.686099999999996</v>
      </c>
      <c r="G20" s="7">
        <v>-104.1585</v>
      </c>
      <c r="H20" s="12">
        <v>1023</v>
      </c>
      <c r="I20" s="12" t="s">
        <v>267</v>
      </c>
      <c r="J20" s="97">
        <v>0.512314011030926</v>
      </c>
      <c r="K20" s="98">
        <v>9.5999646036691239E-6</v>
      </c>
      <c r="L20" s="82">
        <v>-6.3200341971147989</v>
      </c>
      <c r="M20" s="82">
        <v>0.26032180915585584</v>
      </c>
      <c r="N20" s="98">
        <v>0.71912140439698291</v>
      </c>
      <c r="O20" s="99">
        <v>5.912207966536809E-6</v>
      </c>
      <c r="P20" s="124">
        <v>1.5496628446805278</v>
      </c>
      <c r="Q20" s="88">
        <v>1.9886187290017767</v>
      </c>
      <c r="R20" s="64">
        <v>16.667845345084398</v>
      </c>
      <c r="S20" s="88">
        <v>8.1717259710175724E-2</v>
      </c>
      <c r="T20" s="88">
        <v>4.037661764828802</v>
      </c>
      <c r="U20" s="88">
        <v>0.79526594783520377</v>
      </c>
      <c r="V20" s="88">
        <v>0.88611008206374575</v>
      </c>
      <c r="W20" s="88">
        <v>6.7181035628085556E-2</v>
      </c>
      <c r="X20" s="89">
        <v>5.5676273467764776</v>
      </c>
      <c r="Y20" s="77">
        <v>53.083036366551099</v>
      </c>
      <c r="Z20" s="78">
        <v>14.7950237640125</v>
      </c>
      <c r="AA20" s="78">
        <v>134.237991506122</v>
      </c>
      <c r="AB20" s="78">
        <v>5322.8140592004702</v>
      </c>
      <c r="AC20" s="78">
        <v>92.065112606073498</v>
      </c>
      <c r="AD20" s="78">
        <v>57.212777833016297</v>
      </c>
      <c r="AE20" s="78">
        <v>11.6157360291276</v>
      </c>
      <c r="AF20" s="78">
        <v>22.752831901674099</v>
      </c>
      <c r="AG20" s="78">
        <v>24.004342022883201</v>
      </c>
      <c r="AH20" s="78">
        <v>106.703823034294</v>
      </c>
      <c r="AI20" s="78">
        <v>207.272512294704</v>
      </c>
      <c r="AJ20" s="78">
        <v>148.54963172088699</v>
      </c>
      <c r="AK20" s="78">
        <v>31.936434100841499</v>
      </c>
      <c r="AL20" s="78">
        <v>158.913372574286</v>
      </c>
      <c r="AM20" s="79">
        <v>27.2384725561656</v>
      </c>
      <c r="AN20" s="79">
        <v>2.2502419244505898</v>
      </c>
      <c r="AO20" s="79">
        <v>7.9214590439078902</v>
      </c>
      <c r="AP20" s="79">
        <v>1.1714496765115701</v>
      </c>
      <c r="AQ20" s="79">
        <v>12.5152731089089</v>
      </c>
      <c r="AR20" s="78">
        <v>677.33743763923201</v>
      </c>
      <c r="AS20" s="79">
        <v>47.825799816841297</v>
      </c>
      <c r="AT20" s="79">
        <v>99.283155132903303</v>
      </c>
      <c r="AU20" s="79">
        <v>10.7721349895795</v>
      </c>
      <c r="AV20" s="79">
        <v>39.154251366870703</v>
      </c>
      <c r="AW20" s="79">
        <v>7.4187401068345196</v>
      </c>
      <c r="AX20" s="79">
        <v>1.2643572433738699</v>
      </c>
      <c r="AY20" s="79">
        <v>5.9729604456944898</v>
      </c>
      <c r="AZ20" s="79">
        <v>0.94718890790052301</v>
      </c>
      <c r="BA20" s="79">
        <v>5.3348119277517796</v>
      </c>
      <c r="BB20" s="79">
        <v>1.0940205628878501</v>
      </c>
      <c r="BC20" s="79">
        <v>1.96986322100163</v>
      </c>
      <c r="BD20" s="79">
        <v>3.1501072234912</v>
      </c>
      <c r="BE20" s="79">
        <v>3.22280197343823</v>
      </c>
      <c r="BF20" s="79">
        <v>0.449060694448429</v>
      </c>
      <c r="BG20" s="79">
        <v>4.5289047067964496</v>
      </c>
      <c r="BH20" s="79">
        <v>1.3538226210126501</v>
      </c>
      <c r="BI20" s="79">
        <v>29.605501718152802</v>
      </c>
      <c r="BJ20" s="79">
        <v>17.952064598885499</v>
      </c>
      <c r="BK20" s="80">
        <v>2.99890077990454</v>
      </c>
      <c r="BL20" s="127">
        <v>59.094922834285917</v>
      </c>
      <c r="BM20" s="60">
        <v>9.6539514205256847</v>
      </c>
      <c r="BN20" s="60">
        <v>16.804899301406451</v>
      </c>
      <c r="BO20" s="61">
        <v>14.446226443781951</v>
      </c>
      <c r="BP20" s="116">
        <f t="shared" si="0"/>
        <v>0.16336346605608254</v>
      </c>
      <c r="BQ20" s="128">
        <f t="shared" si="1"/>
        <v>0.28437128767442132</v>
      </c>
      <c r="BR20" s="67">
        <v>177.77</v>
      </c>
      <c r="BS20" s="68">
        <v>6371.9</v>
      </c>
      <c r="BT20" s="68">
        <v>9998.2999999999993</v>
      </c>
      <c r="BU20" s="68">
        <v>10399</v>
      </c>
      <c r="BV20" s="68">
        <v>400.70000000000073</v>
      </c>
      <c r="BW20" s="68">
        <v>27.9</v>
      </c>
      <c r="BX20" s="68">
        <v>296.33999999999997</v>
      </c>
      <c r="BY20" s="68">
        <v>4469.1377999999995</v>
      </c>
      <c r="BZ20" s="68">
        <v>15.081115610447458</v>
      </c>
      <c r="CA20" s="111">
        <v>2.7899056796246022E-2</v>
      </c>
      <c r="CB20" s="112">
        <v>0.96146744879315316</v>
      </c>
    </row>
    <row r="21" spans="1:80" s="13" customFormat="1">
      <c r="A21" s="55">
        <v>17</v>
      </c>
      <c r="B21" s="13" t="s">
        <v>312</v>
      </c>
      <c r="C21" s="8">
        <v>3</v>
      </c>
      <c r="D21" s="29" t="s">
        <v>7</v>
      </c>
      <c r="E21" s="13" t="s">
        <v>254</v>
      </c>
      <c r="F21" s="6">
        <v>-74.682000000000002</v>
      </c>
      <c r="G21" s="6">
        <v>-105.1934</v>
      </c>
      <c r="H21" s="13">
        <v>1407</v>
      </c>
      <c r="I21" s="13" t="s">
        <v>268</v>
      </c>
      <c r="J21" s="90">
        <v>0.51238745152508092</v>
      </c>
      <c r="K21" s="91">
        <v>1.0459921436902512E-5</v>
      </c>
      <c r="L21" s="81">
        <v>-4.8874346989324913</v>
      </c>
      <c r="M21" s="81">
        <v>0.28414532619164506</v>
      </c>
      <c r="N21" s="91">
        <v>0.71655414143357654</v>
      </c>
      <c r="O21" s="92">
        <v>6.136569633630362E-6</v>
      </c>
      <c r="P21" s="123">
        <v>1.6818803251064822</v>
      </c>
      <c r="Q21" s="86">
        <v>1.8735085637164803</v>
      </c>
      <c r="R21" s="63">
        <v>16.568184509591834</v>
      </c>
      <c r="S21" s="86">
        <v>8.6444576870184947E-2</v>
      </c>
      <c r="T21" s="86">
        <v>3.9941347562710305</v>
      </c>
      <c r="U21" s="86">
        <v>0.85582250591652975</v>
      </c>
      <c r="V21" s="86">
        <v>0.92243363533870892</v>
      </c>
      <c r="W21" s="86">
        <v>7.997114780880199E-2</v>
      </c>
      <c r="X21" s="87">
        <v>5.5831079774669963</v>
      </c>
      <c r="Y21" s="73">
        <v>53.259594901952603</v>
      </c>
      <c r="Z21" s="74">
        <v>14.3282738314496</v>
      </c>
      <c r="AA21" s="74">
        <v>112.496715518263</v>
      </c>
      <c r="AB21" s="74">
        <v>5753.7115929963002</v>
      </c>
      <c r="AC21" s="74">
        <v>91.9573617246146</v>
      </c>
      <c r="AD21" s="74">
        <v>52.054197931028</v>
      </c>
      <c r="AE21" s="74">
        <v>11.4852087850368</v>
      </c>
      <c r="AF21" s="74">
        <v>21.3588256440961</v>
      </c>
      <c r="AG21" s="74">
        <v>22.493404326446399</v>
      </c>
      <c r="AH21" s="74">
        <v>107.13289418420599</v>
      </c>
      <c r="AI21" s="74">
        <v>204.98209598227999</v>
      </c>
      <c r="AJ21" s="74">
        <v>166.172399815799</v>
      </c>
      <c r="AK21" s="74">
        <v>34.063224853963099</v>
      </c>
      <c r="AL21" s="74">
        <v>196.748823977456</v>
      </c>
      <c r="AM21" s="75">
        <v>35.6294834801961</v>
      </c>
      <c r="AN21" s="75">
        <v>9.0047284562926606</v>
      </c>
      <c r="AO21" s="75">
        <v>8.1483831980138195</v>
      </c>
      <c r="AP21" s="75">
        <v>1.4765375303341399</v>
      </c>
      <c r="AQ21" s="75">
        <v>12.5338333662151</v>
      </c>
      <c r="AR21" s="74">
        <v>650.39571144446302</v>
      </c>
      <c r="AS21" s="75">
        <v>50.459584114412102</v>
      </c>
      <c r="AT21" s="75">
        <v>103.906460380493</v>
      </c>
      <c r="AU21" s="75">
        <v>11.2701023308801</v>
      </c>
      <c r="AV21" s="75">
        <v>41.384145424333802</v>
      </c>
      <c r="AW21" s="75">
        <v>7.8344413178798602</v>
      </c>
      <c r="AX21" s="75">
        <v>1.2732716724745901</v>
      </c>
      <c r="AY21" s="75">
        <v>6.3236192719985702</v>
      </c>
      <c r="AZ21" s="75">
        <v>1.01322519045169</v>
      </c>
      <c r="BA21" s="75">
        <v>5.6972536426729201</v>
      </c>
      <c r="BB21" s="75">
        <v>1.1826059234516699</v>
      </c>
      <c r="BC21" s="75">
        <v>2.3964312231389502</v>
      </c>
      <c r="BD21" s="75">
        <v>3.39691663835834</v>
      </c>
      <c r="BE21" s="75">
        <v>3.3876434579013202</v>
      </c>
      <c r="BF21" s="75">
        <v>0.48682652694184297</v>
      </c>
      <c r="BG21" s="75">
        <v>5.3864327162263903</v>
      </c>
      <c r="BH21" s="75">
        <v>1.3555200465666599</v>
      </c>
      <c r="BI21" s="75">
        <v>29.853719094132</v>
      </c>
      <c r="BJ21" s="75">
        <v>20.135224027899401</v>
      </c>
      <c r="BK21" s="76">
        <v>3.2952308162446098</v>
      </c>
      <c r="BL21" s="125">
        <v>53.506985246115683</v>
      </c>
      <c r="BM21" s="58">
        <v>11.542629586107847</v>
      </c>
      <c r="BN21" s="58">
        <v>22.783362149097027</v>
      </c>
      <c r="BO21" s="59">
        <v>12.167023018679448</v>
      </c>
      <c r="BP21" s="115">
        <f t="shared" si="0"/>
        <v>0.21572191991410652</v>
      </c>
      <c r="BQ21" s="126">
        <f t="shared" si="1"/>
        <v>0.42580164149223815</v>
      </c>
      <c r="BR21" s="65">
        <v>250.54</v>
      </c>
      <c r="BS21" s="66">
        <v>9193.2999999999993</v>
      </c>
      <c r="BT21" s="66">
        <v>14534</v>
      </c>
      <c r="BU21" s="66">
        <v>15080</v>
      </c>
      <c r="BV21" s="66">
        <v>546</v>
      </c>
      <c r="BW21" s="66">
        <v>27.3</v>
      </c>
      <c r="BX21" s="66">
        <v>447.14</v>
      </c>
      <c r="BY21" s="66">
        <v>6298.5755999999992</v>
      </c>
      <c r="BZ21" s="66">
        <v>14.086361318602673</v>
      </c>
      <c r="CA21" s="113">
        <v>2.7252455592659874E-2</v>
      </c>
      <c r="CB21" s="114">
        <v>0.96379310344827585</v>
      </c>
    </row>
    <row r="22" spans="1:80" s="13" customFormat="1" ht="16.2">
      <c r="A22" s="55">
        <v>18</v>
      </c>
      <c r="B22" s="13" t="s">
        <v>324</v>
      </c>
      <c r="C22" s="8" t="s">
        <v>12</v>
      </c>
      <c r="D22" s="29" t="s">
        <v>7</v>
      </c>
      <c r="E22" s="13" t="s">
        <v>256</v>
      </c>
      <c r="F22" s="6">
        <v>-74.622829999999993</v>
      </c>
      <c r="G22" s="6">
        <v>-105.80183</v>
      </c>
      <c r="H22" s="13">
        <v>526</v>
      </c>
      <c r="I22" s="13" t="s">
        <v>268</v>
      </c>
      <c r="J22" s="90">
        <v>0.51240600000000003</v>
      </c>
      <c r="K22" s="91">
        <v>7.9999999999999996E-6</v>
      </c>
      <c r="L22" s="81">
        <v>-4.5236799608239231</v>
      </c>
      <c r="M22" s="81">
        <v>0.21462273898840273</v>
      </c>
      <c r="N22" s="91">
        <v>0.71690399999999999</v>
      </c>
      <c r="O22" s="92">
        <v>6.0000000000000002E-6</v>
      </c>
      <c r="P22" s="123"/>
      <c r="Q22" s="86"/>
      <c r="R22" s="63"/>
      <c r="S22" s="86"/>
      <c r="T22" s="86"/>
      <c r="U22" s="86"/>
      <c r="V22" s="86"/>
      <c r="W22" s="86"/>
      <c r="X22" s="87"/>
      <c r="Y22" s="73">
        <v>58.003571818505797</v>
      </c>
      <c r="Z22" s="74">
        <v>12.5057166017864</v>
      </c>
      <c r="AA22" s="74"/>
      <c r="AB22" s="74">
        <v>5403.5487682061303</v>
      </c>
      <c r="AC22" s="74">
        <v>82.756114034643105</v>
      </c>
      <c r="AD22" s="74">
        <v>46.774744998992198</v>
      </c>
      <c r="AE22" s="74">
        <v>9.9188070755216202</v>
      </c>
      <c r="AF22" s="74">
        <v>18.801360946735599</v>
      </c>
      <c r="AG22" s="74">
        <v>15.4293392661588</v>
      </c>
      <c r="AH22" s="74">
        <v>109.453953889856</v>
      </c>
      <c r="AI22" s="74">
        <v>209.99323123807301</v>
      </c>
      <c r="AJ22" s="74">
        <v>171.00512064418501</v>
      </c>
      <c r="AK22" s="74">
        <v>36.038017209032802</v>
      </c>
      <c r="AL22" s="74">
        <v>210.48883764025501</v>
      </c>
      <c r="AM22" s="75"/>
      <c r="AN22" s="75"/>
      <c r="AO22" s="75"/>
      <c r="AP22" s="75"/>
      <c r="AQ22" s="75">
        <v>11.8436008286566</v>
      </c>
      <c r="AR22" s="74">
        <v>615.39146038780802</v>
      </c>
      <c r="AS22" s="75">
        <v>55.008267542752598</v>
      </c>
      <c r="AT22" s="75">
        <v>113.127907990103</v>
      </c>
      <c r="AU22" s="75">
        <v>12.001693187057199</v>
      </c>
      <c r="AV22" s="75">
        <v>44.456243085340503</v>
      </c>
      <c r="AW22" s="75">
        <v>8.0626768327932901</v>
      </c>
      <c r="AX22" s="75">
        <v>1.29708296542091</v>
      </c>
      <c r="AY22" s="75">
        <v>6.6421882999042596</v>
      </c>
      <c r="AZ22" s="75">
        <v>1.0479772115592201</v>
      </c>
      <c r="BA22" s="75">
        <v>5.9682660606762896</v>
      </c>
      <c r="BB22" s="75">
        <v>1.2283538954303399</v>
      </c>
      <c r="BC22" s="75"/>
      <c r="BD22" s="75">
        <v>3.5139724477208998</v>
      </c>
      <c r="BE22" s="75">
        <v>3.2891699508087902</v>
      </c>
      <c r="BF22" s="75">
        <v>0.49911992844750203</v>
      </c>
      <c r="BG22" s="75">
        <v>5.0756774115211201</v>
      </c>
      <c r="BH22" s="75"/>
      <c r="BI22" s="75">
        <v>30.583152388448902</v>
      </c>
      <c r="BJ22" s="75">
        <v>24.7938248393314</v>
      </c>
      <c r="BK22" s="76">
        <v>3.64611424964433</v>
      </c>
      <c r="BL22" s="125">
        <v>45.027143296117998</v>
      </c>
      <c r="BM22" s="58">
        <v>12.424459694765954</v>
      </c>
      <c r="BN22" s="58">
        <v>30.665183289650138</v>
      </c>
      <c r="BO22" s="59">
        <v>11.883213719465912</v>
      </c>
      <c r="BP22" s="115">
        <f t="shared" si="0"/>
        <v>0.27593266606005462</v>
      </c>
      <c r="BQ22" s="126">
        <f t="shared" si="1"/>
        <v>0.68103772624398151</v>
      </c>
      <c r="BR22" s="65">
        <v>272.13</v>
      </c>
      <c r="BS22" s="66">
        <v>14101</v>
      </c>
      <c r="BT22" s="66">
        <v>20375</v>
      </c>
      <c r="BU22" s="66">
        <v>21062</v>
      </c>
      <c r="BV22" s="66">
        <v>687</v>
      </c>
      <c r="BW22" s="66">
        <v>26.1</v>
      </c>
      <c r="BX22" s="66">
        <v>1020.14</v>
      </c>
      <c r="BY22" s="66">
        <v>6841.3481999999985</v>
      </c>
      <c r="BZ22" s="66">
        <v>6.70628364734252</v>
      </c>
      <c r="CA22" s="113">
        <v>1.9298631302744486E-2</v>
      </c>
      <c r="CB22" s="114">
        <v>0.96738201500332355</v>
      </c>
    </row>
    <row r="23" spans="1:80" s="13" customFormat="1">
      <c r="A23" s="55">
        <v>19</v>
      </c>
      <c r="B23" s="13" t="s">
        <v>313</v>
      </c>
      <c r="C23" s="8">
        <v>6</v>
      </c>
      <c r="D23" s="29" t="s">
        <v>7</v>
      </c>
      <c r="E23" s="13" t="s">
        <v>256</v>
      </c>
      <c r="F23" s="6">
        <v>-74.604667000000006</v>
      </c>
      <c r="G23" s="6">
        <v>-106.64316700000001</v>
      </c>
      <c r="H23" s="13">
        <v>1385</v>
      </c>
      <c r="I23" s="13" t="s">
        <v>268</v>
      </c>
      <c r="J23" s="90">
        <v>0.51246145096928075</v>
      </c>
      <c r="K23" s="91">
        <v>1.0979917531280076E-5</v>
      </c>
      <c r="L23" s="81">
        <v>-3.4439317943513181</v>
      </c>
      <c r="M23" s="81">
        <v>0.28414532619164506</v>
      </c>
      <c r="N23" s="91">
        <v>0.71284920297290333</v>
      </c>
      <c r="O23" s="92">
        <v>6.2897317950928309E-6</v>
      </c>
      <c r="P23" s="123">
        <v>1.620586306728202</v>
      </c>
      <c r="Q23" s="86">
        <v>1.5133677237035712</v>
      </c>
      <c r="R23" s="63">
        <v>16.36151491141997</v>
      </c>
      <c r="S23" s="86">
        <v>0.11621795804654209</v>
      </c>
      <c r="T23" s="86">
        <v>3.6284536261665634</v>
      </c>
      <c r="U23" s="86">
        <v>0.92994817488520953</v>
      </c>
      <c r="V23" s="86">
        <v>0.97485971386033199</v>
      </c>
      <c r="W23" s="86">
        <v>6.7508543120733372E-2</v>
      </c>
      <c r="X23" s="87">
        <v>5.5142635860358347</v>
      </c>
      <c r="Y23" s="73">
        <v>46.970731390566698</v>
      </c>
      <c r="Z23" s="74">
        <v>12.9948193386435</v>
      </c>
      <c r="AA23" s="74">
        <v>137.75269205151699</v>
      </c>
      <c r="AB23" s="74">
        <v>6185.9755821204499</v>
      </c>
      <c r="AC23" s="74">
        <v>90.448663103965501</v>
      </c>
      <c r="AD23" s="74">
        <v>51.672251487409298</v>
      </c>
      <c r="AE23" s="74">
        <v>11.240058432366499</v>
      </c>
      <c r="AF23" s="74">
        <v>20.241674527183399</v>
      </c>
      <c r="AG23" s="74">
        <v>21.8305543940678</v>
      </c>
      <c r="AH23" s="74">
        <v>99.322982827515801</v>
      </c>
      <c r="AI23" s="74">
        <v>181.29078310230199</v>
      </c>
      <c r="AJ23" s="74">
        <v>194.90415187689001</v>
      </c>
      <c r="AK23" s="74">
        <v>35.992865260440098</v>
      </c>
      <c r="AL23" s="74">
        <v>260.46112954399899</v>
      </c>
      <c r="AM23" s="75">
        <v>44.190644881638597</v>
      </c>
      <c r="AN23" s="75">
        <v>2.7208574108439199</v>
      </c>
      <c r="AO23" s="75">
        <v>7.3920584472222997</v>
      </c>
      <c r="AP23" s="75">
        <v>0.880102111094478</v>
      </c>
      <c r="AQ23" s="75">
        <v>11.034223596471699</v>
      </c>
      <c r="AR23" s="74">
        <v>549.92846072758698</v>
      </c>
      <c r="AS23" s="75">
        <v>52.830405439216797</v>
      </c>
      <c r="AT23" s="75">
        <v>106.953654797192</v>
      </c>
      <c r="AU23" s="75">
        <v>11.719856952628</v>
      </c>
      <c r="AV23" s="75">
        <v>43.304638988380503</v>
      </c>
      <c r="AW23" s="75">
        <v>8.1711708076662006</v>
      </c>
      <c r="AX23" s="75">
        <v>1.2922716110903101</v>
      </c>
      <c r="AY23" s="75">
        <v>6.7224736812105004</v>
      </c>
      <c r="AZ23" s="75">
        <v>1.06996489069435</v>
      </c>
      <c r="BA23" s="75">
        <v>6.0375857417319798</v>
      </c>
      <c r="BB23" s="75">
        <v>1.2450802100984399</v>
      </c>
      <c r="BC23" s="75">
        <v>2.9068330386367398</v>
      </c>
      <c r="BD23" s="75">
        <v>3.5776632198356899</v>
      </c>
      <c r="BE23" s="75">
        <v>3.57524040673706</v>
      </c>
      <c r="BF23" s="75">
        <v>0.51225096352497301</v>
      </c>
      <c r="BG23" s="75">
        <v>6.6126590102808596</v>
      </c>
      <c r="BH23" s="75">
        <v>1.1377831393436499</v>
      </c>
      <c r="BI23" s="75">
        <v>30.456181923854999</v>
      </c>
      <c r="BJ23" s="75">
        <v>19.0756112526694</v>
      </c>
      <c r="BK23" s="76">
        <v>3.3582398767083901</v>
      </c>
      <c r="BL23" s="125">
        <v>35.538417044249492</v>
      </c>
      <c r="BM23" s="58">
        <v>19.802371541501977</v>
      </c>
      <c r="BN23" s="58">
        <v>36.980301934564807</v>
      </c>
      <c r="BO23" s="59">
        <v>7.6789094796837185</v>
      </c>
      <c r="BP23" s="115">
        <f t="shared" si="0"/>
        <v>0.55721028645833337</v>
      </c>
      <c r="BQ23" s="126">
        <f t="shared" si="1"/>
        <v>1.0405725693555794</v>
      </c>
      <c r="BR23" s="65">
        <v>325.57</v>
      </c>
      <c r="BS23" s="66">
        <v>22819</v>
      </c>
      <c r="BT23" s="66">
        <v>14580</v>
      </c>
      <c r="BU23" s="66">
        <v>22106</v>
      </c>
      <c r="BV23" s="66">
        <v>713</v>
      </c>
      <c r="BW23" s="66">
        <v>26.5</v>
      </c>
      <c r="BX23" s="66">
        <v>699.14</v>
      </c>
      <c r="BY23" s="66">
        <v>8184.8297999999995</v>
      </c>
      <c r="BZ23" s="66">
        <v>11.706996881883457</v>
      </c>
      <c r="CA23" s="113">
        <v>2.2329903978052127E-2</v>
      </c>
      <c r="CB23" s="114">
        <v>0.96875410841842324</v>
      </c>
    </row>
    <row r="24" spans="1:80" s="13" customFormat="1">
      <c r="A24" s="55">
        <v>20</v>
      </c>
      <c r="B24" s="13" t="s">
        <v>314</v>
      </c>
      <c r="C24" s="8">
        <v>5</v>
      </c>
      <c r="D24" s="29" t="s">
        <v>7</v>
      </c>
      <c r="E24" s="13" t="s">
        <v>256</v>
      </c>
      <c r="F24" s="6">
        <v>-74.138999999999996</v>
      </c>
      <c r="G24" s="6">
        <v>-105.73033</v>
      </c>
      <c r="H24" s="13">
        <v>1507</v>
      </c>
      <c r="I24" s="13" t="s">
        <v>268</v>
      </c>
      <c r="J24" s="90">
        <v>0.51238011078720758</v>
      </c>
      <c r="K24" s="91">
        <v>1.1139958925507711E-5</v>
      </c>
      <c r="L24" s="81">
        <v>-5.0306300506874901</v>
      </c>
      <c r="M24" s="81">
        <v>0.26032180915585584</v>
      </c>
      <c r="N24" s="91">
        <v>0.71469383669756226</v>
      </c>
      <c r="O24" s="92">
        <v>5.5602343076535187E-6</v>
      </c>
      <c r="P24" s="123">
        <v>1.6177948070948991</v>
      </c>
      <c r="Q24" s="86">
        <v>2.0564862744087358</v>
      </c>
      <c r="R24" s="63">
        <v>16.38618337548613</v>
      </c>
      <c r="S24" s="86">
        <v>9.4352677502569079E-2</v>
      </c>
      <c r="T24" s="86">
        <v>3.7783678376029153</v>
      </c>
      <c r="U24" s="86">
        <v>0.92686430471476577</v>
      </c>
      <c r="V24" s="86">
        <v>0.88755365498274053</v>
      </c>
      <c r="W24" s="86">
        <v>0.10032754490824226</v>
      </c>
      <c r="X24" s="87">
        <v>5.9134867364214267</v>
      </c>
      <c r="Y24" s="73">
        <v>51.851229815216499</v>
      </c>
      <c r="Z24" s="74">
        <v>14.704854000129099</v>
      </c>
      <c r="AA24" s="74">
        <v>180.493609421652</v>
      </c>
      <c r="AB24" s="74">
        <v>5435.6562730122296</v>
      </c>
      <c r="AC24" s="74">
        <v>97.498422624218904</v>
      </c>
      <c r="AD24" s="74">
        <v>51.923883030531798</v>
      </c>
      <c r="AE24" s="74">
        <v>12.2559861802293</v>
      </c>
      <c r="AF24" s="74">
        <v>24.744901771130099</v>
      </c>
      <c r="AG24" s="74">
        <v>32.987634530160001</v>
      </c>
      <c r="AH24" s="74">
        <v>121.84719485723301</v>
      </c>
      <c r="AI24" s="74">
        <v>191.436848120788</v>
      </c>
      <c r="AJ24" s="74">
        <v>166.802865212119</v>
      </c>
      <c r="AK24" s="74">
        <v>30.0645453227459</v>
      </c>
      <c r="AL24" s="74">
        <v>180.42163870337899</v>
      </c>
      <c r="AM24" s="75">
        <v>30.984508543226401</v>
      </c>
      <c r="AN24" s="75">
        <v>9.6007830808841703</v>
      </c>
      <c r="AO24" s="75">
        <v>7.1365362621717301</v>
      </c>
      <c r="AP24" s="75">
        <v>2.2594727023336998</v>
      </c>
      <c r="AQ24" s="75">
        <v>11.849615300373699</v>
      </c>
      <c r="AR24" s="74">
        <v>697.37663459114901</v>
      </c>
      <c r="AS24" s="75">
        <v>45.562940276813897</v>
      </c>
      <c r="AT24" s="75">
        <v>97.105410283947194</v>
      </c>
      <c r="AU24" s="75">
        <v>10.3228819640902</v>
      </c>
      <c r="AV24" s="75">
        <v>37.6428913314071</v>
      </c>
      <c r="AW24" s="75">
        <v>7.1583447507857603</v>
      </c>
      <c r="AX24" s="75">
        <v>1.24359685256618</v>
      </c>
      <c r="AY24" s="75">
        <v>5.7621434865889603</v>
      </c>
      <c r="AZ24" s="75">
        <v>0.91127866299012406</v>
      </c>
      <c r="BA24" s="75">
        <v>5.1120206790899703</v>
      </c>
      <c r="BB24" s="75">
        <v>1.0552498686218099</v>
      </c>
      <c r="BC24" s="75">
        <v>2.1012053415147798</v>
      </c>
      <c r="BD24" s="75">
        <v>3.0166543033926398</v>
      </c>
      <c r="BE24" s="75">
        <v>3.1423159349745098</v>
      </c>
      <c r="BF24" s="75">
        <v>0.43166267323396701</v>
      </c>
      <c r="BG24" s="75">
        <v>4.9287276064644496</v>
      </c>
      <c r="BH24" s="75">
        <v>1.2278747897161599</v>
      </c>
      <c r="BI24" s="75">
        <v>29.242809142446401</v>
      </c>
      <c r="BJ24" s="75">
        <v>17.637487010075301</v>
      </c>
      <c r="BK24" s="76">
        <v>2.8154190005458801</v>
      </c>
      <c r="BL24" s="125">
        <v>48.132288384368856</v>
      </c>
      <c r="BM24" s="58">
        <v>14.979397269128222</v>
      </c>
      <c r="BN24" s="58">
        <v>22.772282408060036</v>
      </c>
      <c r="BO24" s="59">
        <v>14.116031938442889</v>
      </c>
      <c r="BP24" s="115">
        <f t="shared" si="0"/>
        <v>0.31121307072515669</v>
      </c>
      <c r="BQ24" s="126">
        <f t="shared" si="1"/>
        <v>0.47311863143110855</v>
      </c>
      <c r="BR24" s="65">
        <v>252.11</v>
      </c>
      <c r="BS24" s="66">
        <v>10210</v>
      </c>
      <c r="BT24" s="66">
        <v>6011.5</v>
      </c>
      <c r="BU24" s="66">
        <v>9791.2000000000007</v>
      </c>
      <c r="BV24" s="66">
        <v>418.79999999999927</v>
      </c>
      <c r="BW24" s="66">
        <v>27.4</v>
      </c>
      <c r="BX24" s="66">
        <v>277.94</v>
      </c>
      <c r="BY24" s="66">
        <v>6338.0453999999991</v>
      </c>
      <c r="BZ24" s="66">
        <v>22.803646110671366</v>
      </c>
      <c r="CA24" s="113">
        <v>4.1937952258171839E-2</v>
      </c>
      <c r="CB24" s="114">
        <v>0.95898139079333988</v>
      </c>
    </row>
    <row r="25" spans="1:80" s="13" customFormat="1" ht="16.2">
      <c r="A25" s="55">
        <v>21</v>
      </c>
      <c r="B25" s="13" t="s">
        <v>327</v>
      </c>
      <c r="C25" s="8" t="s">
        <v>10</v>
      </c>
      <c r="D25" s="29" t="s">
        <v>11</v>
      </c>
      <c r="E25" s="13" t="s">
        <v>270</v>
      </c>
      <c r="F25" s="6">
        <v>-73.8917</v>
      </c>
      <c r="G25" s="6">
        <v>-106.2748</v>
      </c>
      <c r="H25" s="13">
        <v>1113</v>
      </c>
      <c r="I25" s="13" t="s">
        <v>268</v>
      </c>
      <c r="J25" s="90">
        <v>0.51239900000000005</v>
      </c>
      <c r="K25" s="91">
        <v>9.0000000000000002E-6</v>
      </c>
      <c r="L25" s="81">
        <v>-4.6675682616414971</v>
      </c>
      <c r="M25" s="81">
        <v>0.27922861799999998</v>
      </c>
      <c r="N25" s="91">
        <v>0.71523499999999995</v>
      </c>
      <c r="O25" s="92">
        <v>3.9999999999999998E-6</v>
      </c>
      <c r="P25" s="123"/>
      <c r="Q25" s="86"/>
      <c r="R25" s="63"/>
      <c r="S25" s="86"/>
      <c r="T25" s="86"/>
      <c r="U25" s="86"/>
      <c r="V25" s="86"/>
      <c r="W25" s="86"/>
      <c r="X25" s="87"/>
      <c r="Y25" s="73">
        <v>42.838850678911797</v>
      </c>
      <c r="Z25" s="74">
        <v>11.483559394658799</v>
      </c>
      <c r="AA25" s="74"/>
      <c r="AB25" s="74">
        <v>4284.3139493907001</v>
      </c>
      <c r="AC25" s="74">
        <v>74.494380813528196</v>
      </c>
      <c r="AD25" s="74">
        <v>41.492429221347301</v>
      </c>
      <c r="AE25" s="74">
        <v>9.2892001655592509</v>
      </c>
      <c r="AF25" s="74">
        <v>19.613311595354599</v>
      </c>
      <c r="AG25" s="74">
        <v>23.419322908473401</v>
      </c>
      <c r="AH25" s="74">
        <v>101.643674963999</v>
      </c>
      <c r="AI25" s="74">
        <v>158.63561542508899</v>
      </c>
      <c r="AJ25" s="74">
        <v>139.12455401887499</v>
      </c>
      <c r="AK25" s="74">
        <v>25.534050631018001</v>
      </c>
      <c r="AL25" s="74">
        <v>143.75818272022499</v>
      </c>
      <c r="AM25" s="75"/>
      <c r="AN25" s="75"/>
      <c r="AO25" s="75"/>
      <c r="AP25" s="75"/>
      <c r="AQ25" s="75">
        <v>9.5464865649941899</v>
      </c>
      <c r="AR25" s="74">
        <v>676.04554067301001</v>
      </c>
      <c r="AS25" s="75">
        <v>38.719797957543001</v>
      </c>
      <c r="AT25" s="75">
        <v>80.3057381192137</v>
      </c>
      <c r="AU25" s="75">
        <v>8.42299011056949</v>
      </c>
      <c r="AV25" s="75">
        <v>31.564736015196502</v>
      </c>
      <c r="AW25" s="75">
        <v>5.8397851634300704</v>
      </c>
      <c r="AX25" s="75">
        <v>0.972392722614696</v>
      </c>
      <c r="AY25" s="75">
        <v>4.6474422199500696</v>
      </c>
      <c r="AZ25" s="75">
        <v>0.71961810232586698</v>
      </c>
      <c r="BA25" s="75">
        <v>4.1215182631910299</v>
      </c>
      <c r="BB25" s="75">
        <v>0.85087975655553005</v>
      </c>
      <c r="BC25" s="75"/>
      <c r="BD25" s="75">
        <v>2.4148576767882299</v>
      </c>
      <c r="BE25" s="75">
        <v>2.4971127435518699</v>
      </c>
      <c r="BF25" s="75">
        <v>0.36452900068166799</v>
      </c>
      <c r="BG25" s="75">
        <v>3.75245165683384</v>
      </c>
      <c r="BH25" s="75"/>
      <c r="BI25" s="75">
        <v>24.206879951605998</v>
      </c>
      <c r="BJ25" s="75">
        <v>19.471904385694099</v>
      </c>
      <c r="BK25" s="76">
        <v>2.7733613723872699</v>
      </c>
      <c r="BL25" s="125"/>
      <c r="BM25" s="58"/>
      <c r="BN25" s="58"/>
      <c r="BO25" s="59"/>
      <c r="BP25" s="115"/>
      <c r="BQ25" s="126"/>
      <c r="BR25" s="65"/>
      <c r="BS25" s="66"/>
      <c r="BT25" s="66"/>
      <c r="BU25" s="66"/>
      <c r="BV25" s="66"/>
      <c r="BW25" s="66"/>
      <c r="BX25" s="66"/>
      <c r="BY25" s="66"/>
      <c r="BZ25" s="66"/>
      <c r="CA25" s="113"/>
      <c r="CB25" s="114"/>
    </row>
    <row r="26" spans="1:80" s="13" customFormat="1">
      <c r="A26" s="55">
        <v>22</v>
      </c>
      <c r="B26" s="13" t="s">
        <v>334</v>
      </c>
      <c r="C26" s="8" t="s">
        <v>21</v>
      </c>
      <c r="D26" s="29" t="s">
        <v>22</v>
      </c>
      <c r="E26" s="13" t="s">
        <v>260</v>
      </c>
      <c r="F26" s="6">
        <v>-74.096500000000006</v>
      </c>
      <c r="G26" s="6">
        <v>-108.6134</v>
      </c>
      <c r="H26" s="13">
        <v>730</v>
      </c>
      <c r="I26" s="13" t="s">
        <v>268</v>
      </c>
      <c r="J26" s="90">
        <v>0.51246230398695847</v>
      </c>
      <c r="K26" s="91">
        <v>7.1744722558174193E-6</v>
      </c>
      <c r="L26" s="81">
        <v>-3.4272920275435492</v>
      </c>
      <c r="M26" s="81">
        <v>0.31734341243432285</v>
      </c>
      <c r="N26" s="91"/>
      <c r="O26" s="92"/>
      <c r="P26" s="123"/>
      <c r="Q26" s="86"/>
      <c r="R26" s="63"/>
      <c r="S26" s="86"/>
      <c r="T26" s="86"/>
      <c r="U26" s="86"/>
      <c r="V26" s="86"/>
      <c r="W26" s="86"/>
      <c r="X26" s="87"/>
      <c r="Y26" s="73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5"/>
      <c r="AN26" s="75"/>
      <c r="AO26" s="75"/>
      <c r="AP26" s="75"/>
      <c r="AQ26" s="75"/>
      <c r="AR26" s="74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6"/>
      <c r="BL26" s="125"/>
      <c r="BM26" s="58"/>
      <c r="BN26" s="58"/>
      <c r="BO26" s="59"/>
      <c r="BP26" s="58"/>
      <c r="BQ26" s="59"/>
      <c r="BR26" s="65"/>
      <c r="BS26" s="66"/>
      <c r="BT26" s="66"/>
      <c r="BU26" s="66"/>
      <c r="BV26" s="66"/>
      <c r="BW26" s="66"/>
      <c r="BX26" s="66"/>
      <c r="BY26" s="66"/>
      <c r="BZ26" s="66"/>
      <c r="CA26" s="113"/>
      <c r="CB26" s="114"/>
    </row>
    <row r="27" spans="1:80" s="13" customFormat="1">
      <c r="A27" s="55">
        <v>23</v>
      </c>
      <c r="B27" s="13" t="s">
        <v>335</v>
      </c>
      <c r="C27" s="8" t="s">
        <v>13</v>
      </c>
      <c r="D27" s="29" t="s">
        <v>7</v>
      </c>
      <c r="E27" s="13" t="s">
        <v>259</v>
      </c>
      <c r="F27" s="6">
        <v>-74.299000000000007</v>
      </c>
      <c r="G27" s="6">
        <v>-109.36199999999999</v>
      </c>
      <c r="H27" s="13">
        <v>1012</v>
      </c>
      <c r="I27" s="13" t="s">
        <v>268</v>
      </c>
      <c r="J27" s="90">
        <v>0.51251814482865365</v>
      </c>
      <c r="K27" s="91">
        <v>6.1502177379438432E-6</v>
      </c>
      <c r="L27" s="81">
        <v>-2.3380079382795405</v>
      </c>
      <c r="M27" s="81">
        <v>0.35998475869207608</v>
      </c>
      <c r="N27" s="91"/>
      <c r="O27" s="92"/>
      <c r="P27" s="123"/>
      <c r="Q27" s="86"/>
      <c r="R27" s="63"/>
      <c r="S27" s="86"/>
      <c r="T27" s="86"/>
      <c r="U27" s="86"/>
      <c r="V27" s="86"/>
      <c r="W27" s="86"/>
      <c r="X27" s="87"/>
      <c r="Y27" s="73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5"/>
      <c r="AN27" s="75"/>
      <c r="AO27" s="75"/>
      <c r="AP27" s="75"/>
      <c r="AQ27" s="75"/>
      <c r="AR27" s="74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6"/>
      <c r="BL27" s="125"/>
      <c r="BM27" s="58"/>
      <c r="BN27" s="58"/>
      <c r="BO27" s="59"/>
      <c r="BP27" s="58"/>
      <c r="BQ27" s="59"/>
      <c r="BR27" s="65"/>
      <c r="BS27" s="66"/>
      <c r="BT27" s="66"/>
      <c r="BU27" s="66"/>
      <c r="BV27" s="66"/>
      <c r="BW27" s="66"/>
      <c r="BX27" s="66"/>
      <c r="BY27" s="66"/>
      <c r="BZ27" s="66"/>
      <c r="CA27" s="113"/>
      <c r="CB27" s="114"/>
    </row>
    <row r="28" spans="1:80" s="13" customFormat="1">
      <c r="A28" s="55">
        <v>24</v>
      </c>
      <c r="B28" s="13" t="s">
        <v>315</v>
      </c>
      <c r="C28" s="8">
        <v>5</v>
      </c>
      <c r="D28" s="29" t="s">
        <v>341</v>
      </c>
      <c r="E28" s="13" t="s">
        <v>256</v>
      </c>
      <c r="F28" s="6">
        <v>-73.850660000000005</v>
      </c>
      <c r="G28" s="6">
        <v>-107.88283</v>
      </c>
      <c r="H28" s="13">
        <v>740</v>
      </c>
      <c r="I28" s="13" t="s">
        <v>268</v>
      </c>
      <c r="J28" s="90">
        <v>0.51239485146950092</v>
      </c>
      <c r="K28" s="91">
        <v>8.1799385615547378E-6</v>
      </c>
      <c r="L28" s="81">
        <v>-4.7430844084739299</v>
      </c>
      <c r="M28" s="81">
        <v>0.28414532619164506</v>
      </c>
      <c r="N28" s="91">
        <v>0.71611247126678745</v>
      </c>
      <c r="O28" s="92">
        <v>6.7779522903546558E-6</v>
      </c>
      <c r="P28" s="123">
        <v>1.5580609678120756</v>
      </c>
      <c r="Q28" s="86">
        <v>1.9831973577182267</v>
      </c>
      <c r="R28" s="63">
        <v>17.120218806783011</v>
      </c>
      <c r="S28" s="86">
        <v>0.10475802053735173</v>
      </c>
      <c r="T28" s="86">
        <v>3.8692263982451114</v>
      </c>
      <c r="U28" s="86">
        <v>0.88460382398579451</v>
      </c>
      <c r="V28" s="86">
        <v>0.95958414016489668</v>
      </c>
      <c r="W28" s="86">
        <v>7.5879921898105024E-2</v>
      </c>
      <c r="X28" s="87">
        <v>6.0191597478918739</v>
      </c>
      <c r="Y28" s="73">
        <v>54.217115296072599</v>
      </c>
      <c r="Z28" s="74">
        <v>15.3967688550796</v>
      </c>
      <c r="AA28" s="74">
        <v>166.67800099992701</v>
      </c>
      <c r="AB28" s="74">
        <v>5985.3557496693002</v>
      </c>
      <c r="AC28" s="74">
        <v>97.293922152963802</v>
      </c>
      <c r="AD28" s="74">
        <v>56.151335433171099</v>
      </c>
      <c r="AE28" s="74">
        <v>12.589275134035899</v>
      </c>
      <c r="AF28" s="74">
        <v>24.629478964875599</v>
      </c>
      <c r="AG28" s="74">
        <v>25.4404745108159</v>
      </c>
      <c r="AH28" s="74">
        <v>123.938391871587</v>
      </c>
      <c r="AI28" s="74">
        <v>202.403235203603</v>
      </c>
      <c r="AJ28" s="74">
        <v>159.799880059576</v>
      </c>
      <c r="AK28" s="74">
        <v>32.667029486527099</v>
      </c>
      <c r="AL28" s="74">
        <v>202.71744543909799</v>
      </c>
      <c r="AM28" s="75">
        <v>36.402919202048402</v>
      </c>
      <c r="AN28" s="75">
        <v>5.4874977165287602</v>
      </c>
      <c r="AO28" s="75">
        <v>8.1233965224114701</v>
      </c>
      <c r="AP28" s="75">
        <v>1.3021729622837599</v>
      </c>
      <c r="AQ28" s="75">
        <v>12.936723140120799</v>
      </c>
      <c r="AR28" s="74">
        <v>628.57453063765297</v>
      </c>
      <c r="AS28" s="75">
        <v>50.755734889804799</v>
      </c>
      <c r="AT28" s="75">
        <v>106.115071940162</v>
      </c>
      <c r="AU28" s="75">
        <v>11.5428086554149</v>
      </c>
      <c r="AV28" s="75">
        <v>42.047720162574002</v>
      </c>
      <c r="AW28" s="75">
        <v>7.9625572091585397</v>
      </c>
      <c r="AX28" s="75">
        <v>1.3031474051818299</v>
      </c>
      <c r="AY28" s="75">
        <v>6.3817606594051801</v>
      </c>
      <c r="AZ28" s="75">
        <v>1.0018062460402499</v>
      </c>
      <c r="BA28" s="75">
        <v>5.5611197892581599</v>
      </c>
      <c r="BB28" s="75">
        <v>1.1635100870520201</v>
      </c>
      <c r="BC28" s="75">
        <v>2.4320282663388499</v>
      </c>
      <c r="BD28" s="75">
        <v>3.28805628623032</v>
      </c>
      <c r="BE28" s="75">
        <v>3.27532633947034</v>
      </c>
      <c r="BF28" s="75">
        <v>0.47520562054347998</v>
      </c>
      <c r="BG28" s="75">
        <v>5.2856453247445003</v>
      </c>
      <c r="BH28" s="75">
        <v>1.31127731842359</v>
      </c>
      <c r="BI28" s="75">
        <v>32.3502391933567</v>
      </c>
      <c r="BJ28" s="75">
        <v>20.0908650066735</v>
      </c>
      <c r="BK28" s="76">
        <v>3.2645900244496202</v>
      </c>
      <c r="BL28" s="125">
        <v>50.351186081293427</v>
      </c>
      <c r="BM28" s="58">
        <v>8.9884704946896115</v>
      </c>
      <c r="BN28" s="58">
        <v>27.489391712163648</v>
      </c>
      <c r="BO28" s="59">
        <v>13.170951711853316</v>
      </c>
      <c r="BP28" s="115">
        <f t="shared" si="0"/>
        <v>0.17851556625056397</v>
      </c>
      <c r="BQ28" s="126">
        <f t="shared" si="1"/>
        <v>0.54595321086937731</v>
      </c>
      <c r="BR28" s="65">
        <v>240.52</v>
      </c>
      <c r="BS28" s="66">
        <v>12410</v>
      </c>
      <c r="BT28" s="66">
        <v>7581.2</v>
      </c>
      <c r="BU28" s="66">
        <v>11917</v>
      </c>
      <c r="BV28" s="66">
        <v>493</v>
      </c>
      <c r="BW28" s="66">
        <v>26</v>
      </c>
      <c r="BX28" s="66">
        <v>352.94</v>
      </c>
      <c r="BY28" s="66">
        <v>6046.6727999999994</v>
      </c>
      <c r="BZ28" s="66">
        <v>17.132296707655691</v>
      </c>
      <c r="CA28" s="113">
        <v>3.1725848150688546E-2</v>
      </c>
      <c r="CB28" s="114">
        <v>0.96027397260273972</v>
      </c>
    </row>
    <row r="29" spans="1:80" s="13" customFormat="1">
      <c r="A29" s="55">
        <v>25</v>
      </c>
      <c r="B29" s="13" t="s">
        <v>316</v>
      </c>
      <c r="C29" s="8">
        <v>3</v>
      </c>
      <c r="D29" s="29" t="s">
        <v>341</v>
      </c>
      <c r="E29" s="13" t="s">
        <v>256</v>
      </c>
      <c r="F29" s="6">
        <v>-73.666160000000005</v>
      </c>
      <c r="G29" s="6">
        <v>-108.99916</v>
      </c>
      <c r="H29" s="13">
        <v>458</v>
      </c>
      <c r="I29" s="13" t="s">
        <v>268</v>
      </c>
      <c r="J29" s="90">
        <v>0.51240051071199044</v>
      </c>
      <c r="K29" s="91">
        <v>1.0639960769066612E-5</v>
      </c>
      <c r="L29" s="81">
        <v>-4.6326898905191261</v>
      </c>
      <c r="M29" s="81">
        <v>0.26032180915585584</v>
      </c>
      <c r="N29" s="91">
        <v>0.71490199880031124</v>
      </c>
      <c r="O29" s="92">
        <v>6.0816490525214784E-6</v>
      </c>
      <c r="P29" s="123">
        <v>1.7185175295006636</v>
      </c>
      <c r="Q29" s="86">
        <v>1.6454700862611504</v>
      </c>
      <c r="R29" s="63">
        <v>15.740056153682668</v>
      </c>
      <c r="S29" s="86">
        <v>8.8866920479755085E-2</v>
      </c>
      <c r="T29" s="86">
        <v>3.6084539157416788</v>
      </c>
      <c r="U29" s="86">
        <v>0.87471019464995703</v>
      </c>
      <c r="V29" s="86">
        <v>0.8821766368005669</v>
      </c>
      <c r="W29" s="86">
        <v>5.6977589339833032E-2</v>
      </c>
      <c r="X29" s="87">
        <v>5.1594025864303585</v>
      </c>
      <c r="Y29" s="73">
        <v>52.278367910512301</v>
      </c>
      <c r="Z29" s="74">
        <v>13.150349702423901</v>
      </c>
      <c r="AA29" s="74">
        <v>171.420104273981</v>
      </c>
      <c r="AB29" s="74">
        <v>5392.0408429408999</v>
      </c>
      <c r="AC29" s="74">
        <v>96.994718267369507</v>
      </c>
      <c r="AD29" s="74">
        <v>51.571826260326802</v>
      </c>
      <c r="AE29" s="74">
        <v>10.420726626404599</v>
      </c>
      <c r="AF29" s="74">
        <v>19.7928633249782</v>
      </c>
      <c r="AG29" s="74">
        <v>16.757943230401999</v>
      </c>
      <c r="AH29" s="74">
        <v>96.414388232046903</v>
      </c>
      <c r="AI29" s="74">
        <v>174.55952887906901</v>
      </c>
      <c r="AJ29" s="74">
        <v>176.74371544779899</v>
      </c>
      <c r="AK29" s="74">
        <v>28.6014309668214</v>
      </c>
      <c r="AL29" s="74">
        <v>189.146816117273</v>
      </c>
      <c r="AM29" s="75">
        <v>30.4315123851344</v>
      </c>
      <c r="AN29" s="75">
        <v>2.0414444794623798</v>
      </c>
      <c r="AO29" s="75">
        <v>5.9869613061912803</v>
      </c>
      <c r="AP29" s="75">
        <v>1.5200278754529</v>
      </c>
      <c r="AQ29" s="75">
        <v>10.572842207865101</v>
      </c>
      <c r="AR29" s="74">
        <v>689.89349536507495</v>
      </c>
      <c r="AS29" s="75">
        <v>45.453236918204297</v>
      </c>
      <c r="AT29" s="75">
        <v>94.330257011290897</v>
      </c>
      <c r="AU29" s="75">
        <v>10.3733868661124</v>
      </c>
      <c r="AV29" s="75">
        <v>38.279050939850997</v>
      </c>
      <c r="AW29" s="75">
        <v>7.2041690355268697</v>
      </c>
      <c r="AX29" s="75">
        <v>1.24249031314951</v>
      </c>
      <c r="AY29" s="75">
        <v>5.6492349447083798</v>
      </c>
      <c r="AZ29" s="75">
        <v>0.88449786029419197</v>
      </c>
      <c r="BA29" s="75">
        <v>4.82978484596826</v>
      </c>
      <c r="BB29" s="75">
        <v>0.99314843945428199</v>
      </c>
      <c r="BC29" s="75">
        <v>2.0462218728310302</v>
      </c>
      <c r="BD29" s="75">
        <v>2.8230504994330201</v>
      </c>
      <c r="BE29" s="75">
        <v>2.88845739408581</v>
      </c>
      <c r="BF29" s="75">
        <v>0.41526245169642101</v>
      </c>
      <c r="BG29" s="75">
        <v>4.8505134860993797</v>
      </c>
      <c r="BH29" s="75">
        <v>1.12264755762514</v>
      </c>
      <c r="BI29" s="75">
        <v>26.0840084495258</v>
      </c>
      <c r="BJ29" s="75">
        <v>14.3911233765612</v>
      </c>
      <c r="BK29" s="76">
        <v>2.7011503203387899</v>
      </c>
      <c r="BL29" s="125">
        <v>52.983614470293148</v>
      </c>
      <c r="BM29" s="58">
        <v>13.5678391959799</v>
      </c>
      <c r="BN29" s="58">
        <v>19.329695309703755</v>
      </c>
      <c r="BO29" s="59">
        <v>14.118851024023199</v>
      </c>
      <c r="BP29" s="115">
        <f t="shared" si="0"/>
        <v>0.25607613469985357</v>
      </c>
      <c r="BQ29" s="126">
        <f t="shared" si="1"/>
        <v>0.36482402159523353</v>
      </c>
      <c r="BR29" s="65">
        <v>201.85</v>
      </c>
      <c r="BS29" s="66">
        <v>10975</v>
      </c>
      <c r="BT29" s="66">
        <v>7247.3</v>
      </c>
      <c r="BU29" s="66">
        <v>10565</v>
      </c>
      <c r="BV29" s="66">
        <v>410</v>
      </c>
      <c r="BW29" s="66">
        <v>26.3</v>
      </c>
      <c r="BX29" s="66">
        <v>414.14</v>
      </c>
      <c r="BY29" s="66">
        <v>5074.5089999999991</v>
      </c>
      <c r="BZ29" s="66">
        <v>12.253124547254551</v>
      </c>
      <c r="CA29" s="113">
        <v>2.7851751686835097E-2</v>
      </c>
      <c r="CB29" s="114">
        <v>0.96264236902050115</v>
      </c>
    </row>
    <row r="30" spans="1:80" s="13" customFormat="1">
      <c r="A30" s="121">
        <v>26</v>
      </c>
      <c r="B30" s="12" t="s">
        <v>317</v>
      </c>
      <c r="C30" s="14">
        <v>5</v>
      </c>
      <c r="D30" s="31" t="s">
        <v>7</v>
      </c>
      <c r="E30" s="12" t="s">
        <v>257</v>
      </c>
      <c r="F30" s="7">
        <v>-73.304840600000006</v>
      </c>
      <c r="G30" s="7">
        <v>-107.1095061</v>
      </c>
      <c r="H30" s="12">
        <v>882</v>
      </c>
      <c r="I30" s="12" t="s">
        <v>268</v>
      </c>
      <c r="J30" s="97">
        <v>0.51240031071272785</v>
      </c>
      <c r="K30" s="98">
        <v>1.1619957155691167E-5</v>
      </c>
      <c r="L30" s="82">
        <v>-4.6365912646384455</v>
      </c>
      <c r="M30" s="82">
        <v>0.26032180915585584</v>
      </c>
      <c r="N30" s="98">
        <v>0.71592540450563391</v>
      </c>
      <c r="O30" s="99">
        <v>6.111421415006799E-6</v>
      </c>
      <c r="P30" s="124">
        <v>1.6905579152322321</v>
      </c>
      <c r="Q30" s="88">
        <v>2.1524093780038083</v>
      </c>
      <c r="R30" s="64">
        <v>17.685285855167578</v>
      </c>
      <c r="S30" s="88">
        <v>9.6317802591051938E-2</v>
      </c>
      <c r="T30" s="88">
        <v>3.9799413218885795</v>
      </c>
      <c r="U30" s="88">
        <v>0.883144041095697</v>
      </c>
      <c r="V30" s="88">
        <v>0.9286820356518124</v>
      </c>
      <c r="W30" s="88">
        <v>7.4932179032235549E-2</v>
      </c>
      <c r="X30" s="89">
        <v>6.187466966271403</v>
      </c>
      <c r="Y30" s="77">
        <v>55.081761431608498</v>
      </c>
      <c r="Z30" s="78">
        <v>15.6386211899871</v>
      </c>
      <c r="AA30" s="78">
        <v>114.98966427823601</v>
      </c>
      <c r="AB30" s="78">
        <v>5733.5747225028299</v>
      </c>
      <c r="AC30" s="78">
        <v>98.064738375694802</v>
      </c>
      <c r="AD30" s="78">
        <v>53.204770674084799</v>
      </c>
      <c r="AE30" s="78">
        <v>12.515607399774501</v>
      </c>
      <c r="AF30" s="78">
        <v>23.9661801617771</v>
      </c>
      <c r="AG30" s="78">
        <v>28.591708617887999</v>
      </c>
      <c r="AH30" s="78">
        <v>123.843626670276</v>
      </c>
      <c r="AI30" s="78">
        <v>208.09007352494899</v>
      </c>
      <c r="AJ30" s="78">
        <v>164.210524301281</v>
      </c>
      <c r="AK30" s="78">
        <v>32.841753926345199</v>
      </c>
      <c r="AL30" s="78">
        <v>199.11208402632201</v>
      </c>
      <c r="AM30" s="79">
        <v>35.079119539583502</v>
      </c>
      <c r="AN30" s="79">
        <v>2.7312865805997402</v>
      </c>
      <c r="AO30" s="79">
        <v>7.98988210695736</v>
      </c>
      <c r="AP30" s="79">
        <v>1.09029619747177</v>
      </c>
      <c r="AQ30" s="79">
        <v>13.303309186356399</v>
      </c>
      <c r="AR30" s="78">
        <v>682.88315917408499</v>
      </c>
      <c r="AS30" s="79">
        <v>50.1563788589146</v>
      </c>
      <c r="AT30" s="79">
        <v>105.990395758533</v>
      </c>
      <c r="AU30" s="79">
        <v>11.3499828749525</v>
      </c>
      <c r="AV30" s="79">
        <v>41.077256700960199</v>
      </c>
      <c r="AW30" s="79">
        <v>7.80372901217752</v>
      </c>
      <c r="AX30" s="79">
        <v>1.2945899383303101</v>
      </c>
      <c r="AY30" s="79">
        <v>6.2211459730438197</v>
      </c>
      <c r="AZ30" s="79">
        <v>0.99382908532776204</v>
      </c>
      <c r="BA30" s="79">
        <v>5.5910560053588796</v>
      </c>
      <c r="BB30" s="79">
        <v>1.1597540031417799</v>
      </c>
      <c r="BC30" s="79">
        <v>2.37822588181796</v>
      </c>
      <c r="BD30" s="79">
        <v>3.3316822978943001</v>
      </c>
      <c r="BE30" s="79">
        <v>3.4239112046208899</v>
      </c>
      <c r="BF30" s="79">
        <v>0.47626560952941499</v>
      </c>
      <c r="BG30" s="79">
        <v>5.2676809299001697</v>
      </c>
      <c r="BH30" s="79">
        <v>1.32911899648759</v>
      </c>
      <c r="BI30" s="79">
        <v>32.025993211486899</v>
      </c>
      <c r="BJ30" s="79">
        <v>20.085446309902601</v>
      </c>
      <c r="BK30" s="80">
        <v>3.1000756987405702</v>
      </c>
      <c r="BL30" s="127">
        <v>49.965852065207706</v>
      </c>
      <c r="BM30" s="60">
        <v>14.099385337173739</v>
      </c>
      <c r="BN30" s="60">
        <v>21.237836508856105</v>
      </c>
      <c r="BO30" s="61">
        <v>14.696926088762448</v>
      </c>
      <c r="BP30" s="116">
        <f t="shared" si="0"/>
        <v>0.28218042431806029</v>
      </c>
      <c r="BQ30" s="128">
        <f t="shared" si="1"/>
        <v>0.42504701973539377</v>
      </c>
      <c r="BR30" s="67">
        <v>263.43</v>
      </c>
      <c r="BS30" s="68">
        <v>11284</v>
      </c>
      <c r="BT30" s="68">
        <v>6305</v>
      </c>
      <c r="BU30" s="68">
        <v>10774</v>
      </c>
      <c r="BV30" s="68">
        <v>510</v>
      </c>
      <c r="BW30" s="68">
        <v>26.3</v>
      </c>
      <c r="BX30" s="68">
        <v>282.94</v>
      </c>
      <c r="BY30" s="68">
        <v>6622.6301999999996</v>
      </c>
      <c r="BZ30" s="68">
        <v>23.406482646497491</v>
      </c>
      <c r="CA30" s="111">
        <v>4.1781126090404443E-2</v>
      </c>
      <c r="CB30" s="112">
        <v>0.95480326125487414</v>
      </c>
    </row>
    <row r="31" spans="1:80">
      <c r="A31" s="9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4"/>
      <c r="Q31" s="27"/>
      <c r="R31" s="3"/>
      <c r="S31" s="4"/>
      <c r="T31" s="4"/>
      <c r="U31" s="4"/>
      <c r="V31" s="4"/>
      <c r="W31" s="4"/>
      <c r="X31" s="4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3"/>
      <c r="AN31" s="3"/>
      <c r="AO31" s="3"/>
      <c r="AP31" s="3"/>
      <c r="AQ31" s="3"/>
      <c r="AR31" s="2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</row>
    <row r="32" spans="1:80" ht="16.2">
      <c r="A32" s="33" t="s">
        <v>342</v>
      </c>
      <c r="B32" s="22"/>
      <c r="C32" s="22"/>
      <c r="D32" s="22"/>
      <c r="E32" s="22"/>
      <c r="F32" s="22"/>
      <c r="G32" s="22"/>
      <c r="H32" s="22"/>
      <c r="I32" s="2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22"/>
      <c r="BS32" s="22"/>
      <c r="BT32" s="22"/>
      <c r="BU32" s="13"/>
      <c r="BV32" s="22"/>
      <c r="BW32" s="22"/>
      <c r="BX32" s="22"/>
      <c r="BY32" s="22"/>
      <c r="BZ32" s="22"/>
      <c r="CA32" s="22"/>
      <c r="CB32" s="22"/>
    </row>
    <row r="33" spans="1:80" ht="16.2">
      <c r="A33" s="33" t="s">
        <v>319</v>
      </c>
      <c r="B33" s="22"/>
      <c r="C33" s="22"/>
      <c r="D33" s="22"/>
      <c r="E33" s="22"/>
      <c r="F33" s="22"/>
      <c r="G33" s="22"/>
      <c r="H33" s="22"/>
      <c r="I33" s="2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22"/>
      <c r="BS33" s="22"/>
      <c r="BT33" s="22"/>
      <c r="BU33" s="13"/>
      <c r="BV33" s="22"/>
      <c r="BW33" s="22"/>
      <c r="BX33" s="22"/>
      <c r="BY33" s="22"/>
      <c r="BZ33" s="22"/>
      <c r="CA33" s="22"/>
      <c r="CB33" s="22"/>
    </row>
    <row r="34" spans="1:80" ht="16.2">
      <c r="A34" s="32" t="s">
        <v>322</v>
      </c>
      <c r="B34" s="22"/>
      <c r="C34" s="22"/>
      <c r="D34" s="22"/>
      <c r="E34" s="22"/>
      <c r="F34" s="22"/>
      <c r="G34" s="22"/>
      <c r="H34" s="22"/>
      <c r="I34" s="22"/>
      <c r="Q34" s="27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</row>
    <row r="35" spans="1:80" ht="16.2">
      <c r="A35" s="32" t="s">
        <v>325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Q35" s="27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</row>
    <row r="36" spans="1:80" ht="16.2">
      <c r="A36" s="32" t="s">
        <v>328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22"/>
      <c r="R36" s="27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</row>
    <row r="37" spans="1:80" ht="16.2">
      <c r="A37" s="32" t="s">
        <v>329</v>
      </c>
      <c r="B37" s="22"/>
      <c r="C37" s="22"/>
      <c r="D37" s="22"/>
      <c r="E37" s="22"/>
      <c r="F37" s="22"/>
      <c r="G37" s="22"/>
      <c r="H37" s="22"/>
      <c r="I37" s="22"/>
      <c r="Q37" s="27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</row>
    <row r="38" spans="1:80" ht="16.2">
      <c r="A38" s="32" t="s">
        <v>333</v>
      </c>
      <c r="B38" s="22"/>
      <c r="C38" s="22"/>
      <c r="D38" s="22"/>
      <c r="E38" s="22"/>
      <c r="F38" s="22"/>
      <c r="G38" s="22"/>
      <c r="H38" s="22"/>
      <c r="I38" s="22"/>
      <c r="Q38" s="27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</row>
    <row r="39" spans="1:80">
      <c r="A39" s="22"/>
      <c r="B39" s="22"/>
      <c r="C39" s="22"/>
      <c r="D39" s="22"/>
      <c r="E39" s="22"/>
      <c r="F39" s="22"/>
      <c r="G39" s="22"/>
      <c r="H39" s="22"/>
      <c r="I39" s="22"/>
      <c r="Q39" s="27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</row>
    <row r="40" spans="1:80">
      <c r="A40" s="9"/>
      <c r="B40" s="22"/>
      <c r="C40" s="22"/>
      <c r="D40" s="22"/>
      <c r="E40" s="22"/>
      <c r="F40" s="22"/>
      <c r="G40" s="22"/>
      <c r="H40" s="22"/>
      <c r="I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</row>
    <row r="41" spans="1:80">
      <c r="A41" s="9"/>
      <c r="B41" s="22"/>
      <c r="C41" s="22"/>
      <c r="D41" s="22"/>
      <c r="E41" s="22"/>
      <c r="F41" s="22"/>
      <c r="G41" s="22"/>
      <c r="H41" s="22"/>
      <c r="I41" s="22"/>
      <c r="Q41" s="27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</row>
    <row r="42" spans="1:80">
      <c r="A42" s="9"/>
      <c r="B42" s="22"/>
      <c r="C42" s="22"/>
      <c r="D42" s="22"/>
      <c r="E42" s="22"/>
      <c r="F42" s="22"/>
      <c r="G42" s="22"/>
      <c r="H42" s="22"/>
      <c r="I42" s="22"/>
      <c r="Q42" s="27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</row>
    <row r="43" spans="1:80">
      <c r="A43" s="9"/>
      <c r="B43" s="22"/>
      <c r="C43" s="22"/>
      <c r="D43" s="22"/>
      <c r="E43" s="22"/>
      <c r="F43" s="22"/>
      <c r="G43" s="22"/>
      <c r="H43" s="22"/>
      <c r="I43" s="22"/>
      <c r="Q43" s="27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</row>
    <row r="44" spans="1:80">
      <c r="A44" s="9"/>
      <c r="B44" s="22"/>
      <c r="C44" s="22"/>
      <c r="D44" s="22"/>
      <c r="E44" s="22"/>
      <c r="F44" s="22"/>
      <c r="G44" s="22"/>
      <c r="H44" s="22"/>
      <c r="I44" s="22"/>
      <c r="Q44" s="27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</row>
    <row r="45" spans="1:80">
      <c r="A45" s="22"/>
      <c r="B45" s="22"/>
      <c r="C45" s="22"/>
      <c r="D45" s="22"/>
      <c r="E45" s="22"/>
      <c r="F45" s="22"/>
      <c r="G45" s="22"/>
      <c r="H45" s="22"/>
      <c r="I45" s="22"/>
      <c r="Q45" s="27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</row>
    <row r="46" spans="1:80">
      <c r="A46" s="22"/>
      <c r="B46" s="22"/>
      <c r="C46" s="22"/>
      <c r="D46" s="22"/>
      <c r="E46" s="22"/>
      <c r="F46" s="22"/>
      <c r="G46" s="22"/>
      <c r="H46" s="22"/>
      <c r="I46" s="22"/>
      <c r="Q46" s="27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</row>
    <row r="47" spans="1:80">
      <c r="A47" s="22"/>
      <c r="B47" s="22"/>
      <c r="C47" s="22"/>
      <c r="D47" s="22"/>
      <c r="E47" s="22"/>
      <c r="F47" s="22"/>
      <c r="G47" s="22"/>
      <c r="H47" s="22"/>
      <c r="I47" s="22"/>
      <c r="Q47" s="27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</row>
    <row r="48" spans="1:80">
      <c r="A48" s="22"/>
      <c r="B48" s="22"/>
      <c r="C48" s="22"/>
      <c r="D48" s="22"/>
      <c r="E48" s="22"/>
      <c r="F48" s="22"/>
      <c r="G48" s="22"/>
      <c r="H48" s="22"/>
      <c r="I48" s="22"/>
      <c r="Q48" s="27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</row>
    <row r="49" spans="1:80">
      <c r="A49" s="22"/>
      <c r="B49" s="22"/>
      <c r="C49" s="22"/>
      <c r="D49" s="22"/>
      <c r="E49" s="22"/>
      <c r="F49" s="22"/>
      <c r="G49" s="22"/>
      <c r="H49" s="22"/>
      <c r="I49" s="22"/>
      <c r="Q49" s="27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</row>
    <row r="50" spans="1:80">
      <c r="Q50" s="27"/>
    </row>
    <row r="51" spans="1:80">
      <c r="Q51" s="27"/>
    </row>
    <row r="52" spans="1:80">
      <c r="Q52" s="27"/>
    </row>
    <row r="53" spans="1:80">
      <c r="Q53" s="27"/>
    </row>
    <row r="54" spans="1:80">
      <c r="Q54" s="27"/>
    </row>
    <row r="55" spans="1:80">
      <c r="Q55" s="27"/>
    </row>
    <row r="56" spans="1:80">
      <c r="Q56" s="27"/>
    </row>
    <row r="57" spans="1:80">
      <c r="Q57" s="27"/>
    </row>
    <row r="58" spans="1:80">
      <c r="Q58" s="27"/>
    </row>
    <row r="59" spans="1:80">
      <c r="Q59" s="27"/>
    </row>
    <row r="60" spans="1:80">
      <c r="Q60" s="27"/>
    </row>
    <row r="61" spans="1:80">
      <c r="Q61" s="27"/>
    </row>
    <row r="62" spans="1:80">
      <c r="Q62" s="27"/>
    </row>
    <row r="63" spans="1:80">
      <c r="Q63" s="27"/>
    </row>
    <row r="64" spans="1:80">
      <c r="Q64" s="27"/>
    </row>
    <row r="65" spans="17:17">
      <c r="Q65" s="27"/>
    </row>
    <row r="66" spans="17:17">
      <c r="Q66" s="27"/>
    </row>
    <row r="67" spans="17:17">
      <c r="Q67" s="27"/>
    </row>
    <row r="68" spans="17:17">
      <c r="Q68" s="27"/>
    </row>
    <row r="69" spans="17:17">
      <c r="Q69" s="27"/>
    </row>
    <row r="70" spans="17:17">
      <c r="Q70" s="27"/>
    </row>
    <row r="71" spans="17:17">
      <c r="Q71" s="27"/>
    </row>
    <row r="72" spans="17:17">
      <c r="Q72" s="27"/>
    </row>
    <row r="73" spans="17:17">
      <c r="Q73" s="27"/>
    </row>
    <row r="74" spans="17:17">
      <c r="Q74" s="27"/>
    </row>
    <row r="75" spans="17:17">
      <c r="Q75" s="27"/>
    </row>
    <row r="76" spans="17:17">
      <c r="Q76" s="27"/>
    </row>
  </sheetData>
  <mergeCells count="6">
    <mergeCell ref="BR3:CB3"/>
    <mergeCell ref="D3:I3"/>
    <mergeCell ref="J3:O3"/>
    <mergeCell ref="P3:X3"/>
    <mergeCell ref="Y3:BK3"/>
    <mergeCell ref="BL3:BQ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tabSelected="1" zoomScale="70" zoomScaleNormal="70" workbookViewId="0">
      <selection activeCell="H16" sqref="H16"/>
    </sheetView>
  </sheetViews>
  <sheetFormatPr defaultRowHeight="14.4"/>
  <cols>
    <col min="1" max="1" width="9.77734375" bestFit="1" customWidth="1"/>
    <col min="2" max="2" width="21.5546875" bestFit="1" customWidth="1"/>
    <col min="3" max="3" width="21.5546875" style="20" customWidth="1"/>
    <col min="4" max="4" width="6.5546875" bestFit="1" customWidth="1"/>
    <col min="5" max="5" width="5.21875" bestFit="1" customWidth="1"/>
    <col min="6" max="6" width="7.5546875" bestFit="1" customWidth="1"/>
    <col min="7" max="7" width="6.6640625" bestFit="1" customWidth="1"/>
    <col min="8" max="8" width="8.5546875" bestFit="1" customWidth="1"/>
    <col min="9" max="9" width="4.5546875" bestFit="1" customWidth="1"/>
    <col min="10" max="10" width="12.44140625" style="11" customWidth="1"/>
    <col min="11" max="11" width="22.77734375" bestFit="1" customWidth="1"/>
  </cols>
  <sheetData>
    <row r="1" spans="1:11">
      <c r="A1" s="49" t="s">
        <v>289</v>
      </c>
      <c r="B1" s="37"/>
      <c r="C1" s="37"/>
      <c r="D1" s="38"/>
      <c r="E1" s="39"/>
      <c r="F1" s="40"/>
      <c r="G1" s="41"/>
      <c r="H1" s="41"/>
      <c r="I1" s="41"/>
      <c r="J1" s="41"/>
      <c r="K1" s="42"/>
    </row>
    <row r="2" spans="1:11">
      <c r="A2" s="37"/>
      <c r="B2" s="37"/>
      <c r="C2" s="37"/>
      <c r="D2" s="38"/>
      <c r="E2" s="39"/>
      <c r="F2" s="40"/>
      <c r="G2" s="41"/>
      <c r="H2" s="41"/>
      <c r="I2" s="41"/>
      <c r="J2" s="41"/>
      <c r="K2" s="42"/>
    </row>
    <row r="3" spans="1:11">
      <c r="A3" s="37"/>
      <c r="B3" s="37"/>
      <c r="C3" s="37"/>
      <c r="D3" s="38"/>
      <c r="E3" s="39"/>
      <c r="F3" s="40"/>
      <c r="G3" s="41"/>
      <c r="H3" s="41"/>
      <c r="I3" s="41"/>
      <c r="J3" s="41"/>
      <c r="K3" s="42"/>
    </row>
    <row r="4" spans="1:11" ht="16.2">
      <c r="A4" s="43" t="s">
        <v>273</v>
      </c>
      <c r="B4" s="43" t="s">
        <v>274</v>
      </c>
      <c r="C4" s="43" t="s">
        <v>338</v>
      </c>
      <c r="D4" s="44" t="s">
        <v>33</v>
      </c>
      <c r="E4" s="45" t="s">
        <v>34</v>
      </c>
      <c r="F4" s="46" t="s">
        <v>275</v>
      </c>
      <c r="G4" s="47" t="s">
        <v>276</v>
      </c>
      <c r="H4" s="47" t="s">
        <v>35</v>
      </c>
      <c r="I4" s="47" t="s">
        <v>277</v>
      </c>
      <c r="J4" s="47" t="s">
        <v>293</v>
      </c>
      <c r="K4" s="47" t="s">
        <v>269</v>
      </c>
    </row>
    <row r="5" spans="1:11">
      <c r="A5" s="11"/>
      <c r="B5" s="11"/>
      <c r="C5" s="11"/>
      <c r="D5" s="10"/>
      <c r="E5" s="10"/>
      <c r="F5" s="17"/>
      <c r="G5" s="15"/>
      <c r="H5" s="18"/>
      <c r="I5" s="18"/>
      <c r="K5" s="20"/>
    </row>
    <row r="6" spans="1:11">
      <c r="A6" s="11" t="s">
        <v>278</v>
      </c>
      <c r="B6" s="11" t="s">
        <v>290</v>
      </c>
      <c r="C6" s="11" t="s">
        <v>339</v>
      </c>
      <c r="D6" s="10">
        <v>8.3927800000000001</v>
      </c>
      <c r="E6" s="10">
        <v>4.8770000000000001E-2</v>
      </c>
      <c r="F6" s="17">
        <v>5.0000000000000001E-3</v>
      </c>
      <c r="G6" s="15">
        <v>25</v>
      </c>
      <c r="H6" s="18">
        <v>171.50636</v>
      </c>
      <c r="I6" s="18">
        <v>7.0797850836504805</v>
      </c>
      <c r="J6" s="11" t="s">
        <v>204</v>
      </c>
      <c r="K6" s="20" t="s">
        <v>279</v>
      </c>
    </row>
    <row r="7" spans="1:11">
      <c r="A7" s="11"/>
      <c r="B7" s="11"/>
      <c r="C7" s="11"/>
      <c r="D7" s="10"/>
      <c r="E7" s="10"/>
      <c r="F7" s="17"/>
      <c r="G7" s="15"/>
      <c r="H7" s="18"/>
      <c r="I7" s="18"/>
      <c r="K7" s="20"/>
    </row>
    <row r="8" spans="1:11">
      <c r="A8" s="11" t="s">
        <v>149</v>
      </c>
      <c r="B8" s="11" t="s">
        <v>150</v>
      </c>
      <c r="C8" s="11" t="s">
        <v>340</v>
      </c>
      <c r="D8" s="10">
        <v>6.5520399999999999</v>
      </c>
      <c r="E8" s="10">
        <v>1.8950000000000002E-2</v>
      </c>
      <c r="F8" s="17">
        <v>2.1999999999999999E-2</v>
      </c>
      <c r="G8" s="15">
        <v>50.2</v>
      </c>
      <c r="H8" s="18">
        <v>2.0158999999999998</v>
      </c>
      <c r="I8" s="18">
        <v>2.6503800000000002</v>
      </c>
      <c r="J8" s="11" t="s">
        <v>204</v>
      </c>
      <c r="K8" s="20"/>
    </row>
    <row r="9" spans="1:11">
      <c r="A9" s="11" t="s">
        <v>151</v>
      </c>
      <c r="B9" s="11" t="s">
        <v>150</v>
      </c>
      <c r="C9" s="11" t="s">
        <v>340</v>
      </c>
      <c r="D9" s="10">
        <v>6.7158800000000003</v>
      </c>
      <c r="E9" s="10">
        <v>1.4019999999999999E-2</v>
      </c>
      <c r="F9" s="17">
        <v>5.0000000000000001E-3</v>
      </c>
      <c r="G9" s="15">
        <v>-169.4</v>
      </c>
      <c r="H9" s="18">
        <v>5.5806699999999996</v>
      </c>
      <c r="I9" s="18">
        <v>10.38067</v>
      </c>
      <c r="J9" s="11" t="s">
        <v>204</v>
      </c>
      <c r="K9" s="20"/>
    </row>
    <row r="10" spans="1:11">
      <c r="A10" s="11" t="s">
        <v>152</v>
      </c>
      <c r="B10" s="11" t="s">
        <v>150</v>
      </c>
      <c r="C10" s="11" t="s">
        <v>340</v>
      </c>
      <c r="D10" s="10">
        <v>6.5133799999999997</v>
      </c>
      <c r="E10" s="10">
        <v>2.7720000000000002E-2</v>
      </c>
      <c r="F10" s="17">
        <v>6.0000000000000001E-3</v>
      </c>
      <c r="G10" s="15">
        <v>63.4</v>
      </c>
      <c r="H10" s="18">
        <v>140.51209</v>
      </c>
      <c r="I10" s="18">
        <v>10.214829999999999</v>
      </c>
      <c r="J10" s="11" t="s">
        <v>204</v>
      </c>
      <c r="K10" s="20"/>
    </row>
    <row r="11" spans="1:11">
      <c r="A11" s="11" t="s">
        <v>153</v>
      </c>
      <c r="B11" s="11" t="s">
        <v>150</v>
      </c>
      <c r="C11" s="11" t="s">
        <v>340</v>
      </c>
      <c r="D11" s="10">
        <v>2.7220000000000001E-2</v>
      </c>
      <c r="E11" s="10">
        <v>1.83E-3</v>
      </c>
      <c r="F11" s="17">
        <v>3.3000000000000002E-2</v>
      </c>
      <c r="G11" s="15">
        <v>98.4</v>
      </c>
      <c r="H11" s="18">
        <v>172.84678</v>
      </c>
      <c r="I11" s="18">
        <v>1.68746</v>
      </c>
      <c r="J11" s="11" t="s">
        <v>205</v>
      </c>
      <c r="K11" s="20"/>
    </row>
    <row r="12" spans="1:11">
      <c r="A12" s="11" t="s">
        <v>154</v>
      </c>
      <c r="B12" s="11" t="s">
        <v>150</v>
      </c>
      <c r="C12" s="11" t="s">
        <v>340</v>
      </c>
      <c r="D12" s="10">
        <v>-9.8600000000000007E-3</v>
      </c>
      <c r="E12" s="10">
        <v>1.42E-3</v>
      </c>
      <c r="F12" s="17">
        <v>5.8000000000000003E-2</v>
      </c>
      <c r="G12" s="15">
        <v>89.3</v>
      </c>
      <c r="H12" s="18">
        <v>178.05276000000001</v>
      </c>
      <c r="I12" s="18">
        <v>1.12131</v>
      </c>
      <c r="J12" s="11" t="s">
        <v>205</v>
      </c>
      <c r="K12" s="20"/>
    </row>
    <row r="13" spans="1:11">
      <c r="A13" s="11" t="s">
        <v>155</v>
      </c>
      <c r="B13" s="11" t="s">
        <v>150</v>
      </c>
      <c r="C13" s="11" t="s">
        <v>340</v>
      </c>
      <c r="D13" s="10">
        <v>8.1511700000000005</v>
      </c>
      <c r="E13" s="10">
        <v>2.4920000000000001E-2</v>
      </c>
      <c r="F13" s="17">
        <v>5.0000000000000001E-3</v>
      </c>
      <c r="G13" s="15">
        <v>86.8</v>
      </c>
      <c r="H13" s="18">
        <v>184.2047</v>
      </c>
      <c r="I13" s="18">
        <v>12.127980000000001</v>
      </c>
      <c r="J13" s="11" t="s">
        <v>204</v>
      </c>
      <c r="K13" s="20"/>
    </row>
    <row r="14" spans="1:11">
      <c r="A14" s="11" t="s">
        <v>156</v>
      </c>
      <c r="B14" s="11" t="s">
        <v>150</v>
      </c>
      <c r="C14" s="11" t="s">
        <v>340</v>
      </c>
      <c r="D14" s="10">
        <v>15.85136</v>
      </c>
      <c r="E14" s="10">
        <v>-7.7099999999999998E-3</v>
      </c>
      <c r="F14" s="17">
        <v>3.0000000000000001E-3</v>
      </c>
      <c r="G14" s="15">
        <v>77.099999999999994</v>
      </c>
      <c r="H14" s="18">
        <v>186.36108999999999</v>
      </c>
      <c r="I14" s="18">
        <v>16.168800000000001</v>
      </c>
      <c r="J14" s="11" t="s">
        <v>204</v>
      </c>
      <c r="K14" s="20"/>
    </row>
    <row r="15" spans="1:11">
      <c r="A15" s="11" t="s">
        <v>157</v>
      </c>
      <c r="B15" s="11" t="s">
        <v>150</v>
      </c>
      <c r="C15" s="11" t="s">
        <v>340</v>
      </c>
      <c r="D15" s="10">
        <v>12.85629</v>
      </c>
      <c r="E15" s="10">
        <v>7.3050000000000004E-2</v>
      </c>
      <c r="F15" s="17">
        <v>4.0000000000000001E-3</v>
      </c>
      <c r="G15" s="15">
        <v>25</v>
      </c>
      <c r="H15" s="18">
        <v>186.84961999999999</v>
      </c>
      <c r="I15" s="18">
        <v>16.56324</v>
      </c>
      <c r="J15" s="11" t="s">
        <v>204</v>
      </c>
      <c r="K15" s="20"/>
    </row>
    <row r="16" spans="1:11">
      <c r="A16" s="11" t="s">
        <v>158</v>
      </c>
      <c r="B16" s="11" t="s">
        <v>150</v>
      </c>
      <c r="C16" s="11" t="s">
        <v>340</v>
      </c>
      <c r="D16" s="10">
        <v>0.12690000000000001</v>
      </c>
      <c r="E16" s="10">
        <v>2.5000000000000001E-3</v>
      </c>
      <c r="F16" s="17">
        <v>0.129</v>
      </c>
      <c r="G16" s="15">
        <v>97.1</v>
      </c>
      <c r="H16" s="18">
        <v>187.68897999999999</v>
      </c>
      <c r="I16" s="18">
        <v>0.62163000000000002</v>
      </c>
      <c r="J16" s="11" t="s">
        <v>205</v>
      </c>
      <c r="K16" s="20"/>
    </row>
    <row r="17" spans="1:11">
      <c r="A17" s="11" t="s">
        <v>159</v>
      </c>
      <c r="B17" s="11" t="s">
        <v>150</v>
      </c>
      <c r="C17" s="11" t="s">
        <v>340</v>
      </c>
      <c r="D17" s="10">
        <v>2.7109999999999999E-2</v>
      </c>
      <c r="E17" s="10">
        <v>2.0500000000000002E-3</v>
      </c>
      <c r="F17" s="17">
        <v>0.113</v>
      </c>
      <c r="G17" s="15">
        <v>86.9</v>
      </c>
      <c r="H17" s="18">
        <v>192.71135000000001</v>
      </c>
      <c r="I17" s="18">
        <v>0.81849000000000005</v>
      </c>
      <c r="J17" s="11" t="s">
        <v>205</v>
      </c>
      <c r="K17" s="20"/>
    </row>
    <row r="18" spans="1:11">
      <c r="A18" s="11" t="s">
        <v>160</v>
      </c>
      <c r="B18" s="11" t="s">
        <v>150</v>
      </c>
      <c r="C18" s="11" t="s">
        <v>340</v>
      </c>
      <c r="D18" s="10">
        <v>7.3569999999999997E-2</v>
      </c>
      <c r="E18" s="10">
        <v>-4.8000000000000001E-4</v>
      </c>
      <c r="F18" s="17">
        <v>0.21</v>
      </c>
      <c r="G18" s="15">
        <v>79.599999999999994</v>
      </c>
      <c r="H18" s="18">
        <v>195.60359</v>
      </c>
      <c r="I18" s="18">
        <v>0.69899999999999995</v>
      </c>
      <c r="J18" s="11" t="s">
        <v>205</v>
      </c>
      <c r="K18" s="20"/>
    </row>
    <row r="19" spans="1:11">
      <c r="A19" s="11" t="s">
        <v>161</v>
      </c>
      <c r="B19" s="11" t="s">
        <v>150</v>
      </c>
      <c r="C19" s="11" t="s">
        <v>340</v>
      </c>
      <c r="D19" s="10">
        <v>1.366E-2</v>
      </c>
      <c r="E19" s="10">
        <v>-1.9000000000000001E-4</v>
      </c>
      <c r="F19" s="17">
        <v>4.7E-2</v>
      </c>
      <c r="G19" s="15">
        <v>44.1</v>
      </c>
      <c r="H19" s="18">
        <v>204.76121000000001</v>
      </c>
      <c r="I19" s="18">
        <v>2.4167800000000002</v>
      </c>
      <c r="J19" s="11" t="s">
        <v>205</v>
      </c>
      <c r="K19" s="20"/>
    </row>
    <row r="20" spans="1:11">
      <c r="A20" s="11" t="s">
        <v>162</v>
      </c>
      <c r="B20" s="11" t="s">
        <v>150</v>
      </c>
      <c r="C20" s="11" t="s">
        <v>340</v>
      </c>
      <c r="D20" s="10">
        <v>3.1269999999999999E-2</v>
      </c>
      <c r="E20" s="10">
        <v>-1.2800000000000001E-3</v>
      </c>
      <c r="F20" s="17">
        <v>4.2999999999999997E-2</v>
      </c>
      <c r="G20" s="15">
        <v>85.2</v>
      </c>
      <c r="H20" s="18">
        <v>206.20670999999999</v>
      </c>
      <c r="I20" s="18">
        <v>1.48247</v>
      </c>
      <c r="J20" s="11" t="s">
        <v>205</v>
      </c>
      <c r="K20" s="20"/>
    </row>
    <row r="21" spans="1:11">
      <c r="A21" s="11" t="s">
        <v>163</v>
      </c>
      <c r="B21" s="11" t="s">
        <v>150</v>
      </c>
      <c r="C21" s="11" t="s">
        <v>340</v>
      </c>
      <c r="D21" s="10">
        <v>8.4879999999999997E-2</v>
      </c>
      <c r="E21" s="10">
        <v>9.9900000000000006E-3</v>
      </c>
      <c r="F21" s="17">
        <v>2.5999999999999999E-2</v>
      </c>
      <c r="G21" s="15">
        <v>66.900000000000006</v>
      </c>
      <c r="H21" s="18">
        <v>207.04670999999999</v>
      </c>
      <c r="I21" s="18">
        <v>2.5488599999999999</v>
      </c>
      <c r="J21" s="11" t="s">
        <v>205</v>
      </c>
      <c r="K21" s="20"/>
    </row>
    <row r="22" spans="1:11">
      <c r="A22" s="11" t="s">
        <v>164</v>
      </c>
      <c r="B22" s="11" t="s">
        <v>150</v>
      </c>
      <c r="C22" s="11" t="s">
        <v>340</v>
      </c>
      <c r="D22" s="10">
        <v>13.21819</v>
      </c>
      <c r="E22" s="10">
        <v>6.4350000000000004E-2</v>
      </c>
      <c r="F22" s="17">
        <v>3.0000000000000001E-3</v>
      </c>
      <c r="G22" s="15">
        <v>84.8</v>
      </c>
      <c r="H22" s="18">
        <v>208.07365999999999</v>
      </c>
      <c r="I22" s="18">
        <v>15.81785</v>
      </c>
      <c r="J22" s="11" t="s">
        <v>204</v>
      </c>
      <c r="K22" s="20"/>
    </row>
    <row r="23" spans="1:11">
      <c r="A23" s="11" t="s">
        <v>165</v>
      </c>
      <c r="B23" s="11" t="s">
        <v>150</v>
      </c>
      <c r="C23" s="11" t="s">
        <v>340</v>
      </c>
      <c r="D23" s="10">
        <v>11.56202</v>
      </c>
      <c r="E23" s="10">
        <v>1.1209999999999999E-2</v>
      </c>
      <c r="F23" s="17">
        <v>6.0000000000000001E-3</v>
      </c>
      <c r="G23" s="15">
        <v>60.7</v>
      </c>
      <c r="H23" s="18">
        <v>218.17824999999999</v>
      </c>
      <c r="I23" s="18">
        <v>9.5155999999999992</v>
      </c>
      <c r="J23" s="11" t="s">
        <v>204</v>
      </c>
      <c r="K23" s="20"/>
    </row>
    <row r="24" spans="1:11">
      <c r="A24" s="11" t="s">
        <v>166</v>
      </c>
      <c r="B24" s="11" t="s">
        <v>150</v>
      </c>
      <c r="C24" s="11" t="s">
        <v>340</v>
      </c>
      <c r="D24" s="10">
        <v>8.4298900000000003</v>
      </c>
      <c r="E24" s="10">
        <v>8.5360000000000005E-2</v>
      </c>
      <c r="F24" s="17">
        <v>3.0000000000000001E-3</v>
      </c>
      <c r="G24" s="15">
        <v>78.900000000000006</v>
      </c>
      <c r="H24" s="18">
        <v>225.84272000000001</v>
      </c>
      <c r="I24" s="18">
        <v>22.01981</v>
      </c>
      <c r="J24" s="11" t="s">
        <v>204</v>
      </c>
      <c r="K24" s="20"/>
    </row>
    <row r="25" spans="1:11">
      <c r="A25" s="11" t="s">
        <v>167</v>
      </c>
      <c r="B25" s="11" t="s">
        <v>150</v>
      </c>
      <c r="C25" s="11" t="s">
        <v>340</v>
      </c>
      <c r="D25" s="10">
        <v>5.5629999999999999E-2</v>
      </c>
      <c r="E25" s="10">
        <v>2.5569999999999999E-2</v>
      </c>
      <c r="F25" s="17">
        <v>2.5000000000000001E-2</v>
      </c>
      <c r="G25" s="15">
        <v>21.3</v>
      </c>
      <c r="H25" s="18">
        <v>227.86574999999999</v>
      </c>
      <c r="I25" s="18">
        <v>6.1796100000000003</v>
      </c>
      <c r="J25" s="11" t="s">
        <v>205</v>
      </c>
      <c r="K25" s="20"/>
    </row>
    <row r="26" spans="1:11">
      <c r="A26" s="11" t="s">
        <v>168</v>
      </c>
      <c r="B26" s="11" t="s">
        <v>150</v>
      </c>
      <c r="C26" s="11" t="s">
        <v>340</v>
      </c>
      <c r="D26" s="10">
        <v>0.15855</v>
      </c>
      <c r="E26" s="10">
        <v>1.1900000000000001E-3</v>
      </c>
      <c r="F26" s="17">
        <v>0.39400000000000002</v>
      </c>
      <c r="G26" s="15">
        <v>91.4</v>
      </c>
      <c r="H26" s="18">
        <v>229.50710000000001</v>
      </c>
      <c r="I26" s="18">
        <v>0.53932000000000002</v>
      </c>
      <c r="J26" s="11" t="s">
        <v>205</v>
      </c>
      <c r="K26" s="20"/>
    </row>
    <row r="27" spans="1:11">
      <c r="A27" s="11" t="s">
        <v>169</v>
      </c>
      <c r="B27" s="11" t="s">
        <v>150</v>
      </c>
      <c r="C27" s="11" t="s">
        <v>340</v>
      </c>
      <c r="D27" s="10">
        <v>8.5285799999999998</v>
      </c>
      <c r="E27" s="10">
        <v>1.299E-2</v>
      </c>
      <c r="F27" s="17">
        <v>6.0000000000000001E-3</v>
      </c>
      <c r="G27" s="15">
        <v>74.400000000000006</v>
      </c>
      <c r="H27" s="18">
        <v>230.50215</v>
      </c>
      <c r="I27" s="18">
        <v>8.7943899999999999</v>
      </c>
      <c r="J27" s="11" t="s">
        <v>204</v>
      </c>
      <c r="K27" s="20"/>
    </row>
    <row r="28" spans="1:11">
      <c r="A28" s="11" t="s">
        <v>170</v>
      </c>
      <c r="B28" s="11" t="s">
        <v>150</v>
      </c>
      <c r="C28" s="11" t="s">
        <v>340</v>
      </c>
      <c r="D28" s="10">
        <v>8.1490899999999993</v>
      </c>
      <c r="E28" s="10">
        <v>6.2780000000000002E-2</v>
      </c>
      <c r="F28" s="17">
        <v>7.0000000000000001E-3</v>
      </c>
      <c r="G28" s="15">
        <v>72.099999999999994</v>
      </c>
      <c r="H28" s="18">
        <v>234.70895999999999</v>
      </c>
      <c r="I28" s="18">
        <v>8.7213499999999993</v>
      </c>
      <c r="J28" s="11" t="s">
        <v>204</v>
      </c>
      <c r="K28" s="20"/>
    </row>
    <row r="29" spans="1:11">
      <c r="A29" s="11" t="s">
        <v>171</v>
      </c>
      <c r="B29" s="11" t="s">
        <v>150</v>
      </c>
      <c r="C29" s="11" t="s">
        <v>340</v>
      </c>
      <c r="D29" s="10">
        <v>8.9374400000000005</v>
      </c>
      <c r="E29" s="10">
        <v>1.8700000000000001E-2</v>
      </c>
      <c r="F29" s="17">
        <v>5.0000000000000001E-3</v>
      </c>
      <c r="G29" s="15">
        <v>38.299999999999997</v>
      </c>
      <c r="H29" s="18">
        <v>240.58633</v>
      </c>
      <c r="I29" s="18">
        <v>11.86237</v>
      </c>
      <c r="J29" s="11" t="s">
        <v>204</v>
      </c>
      <c r="K29" s="20"/>
    </row>
    <row r="30" spans="1:11">
      <c r="A30" s="11" t="s">
        <v>172</v>
      </c>
      <c r="B30" s="11" t="s">
        <v>150</v>
      </c>
      <c r="C30" s="11" t="s">
        <v>340</v>
      </c>
      <c r="D30" s="10">
        <v>11.065049999999999</v>
      </c>
      <c r="E30" s="10">
        <v>5.5789999999999999E-2</v>
      </c>
      <c r="F30" s="17">
        <v>5.0000000000000001E-3</v>
      </c>
      <c r="G30" s="15">
        <v>56.4</v>
      </c>
      <c r="H30" s="18">
        <v>241.54992999999999</v>
      </c>
      <c r="I30" s="18">
        <v>9.7497799999999994</v>
      </c>
      <c r="J30" s="11" t="s">
        <v>204</v>
      </c>
      <c r="K30" s="20"/>
    </row>
    <row r="31" spans="1:11">
      <c r="A31" s="11" t="s">
        <v>173</v>
      </c>
      <c r="B31" s="11" t="s">
        <v>150</v>
      </c>
      <c r="C31" s="11" t="s">
        <v>340</v>
      </c>
      <c r="D31" s="10">
        <v>9.0941399999999994</v>
      </c>
      <c r="E31" s="10">
        <v>6.0339999999999998E-2</v>
      </c>
      <c r="F31" s="17">
        <v>5.0000000000000001E-3</v>
      </c>
      <c r="G31" s="15">
        <v>13</v>
      </c>
      <c r="H31" s="18">
        <v>245.3571</v>
      </c>
      <c r="I31" s="18">
        <v>15.838139999999999</v>
      </c>
      <c r="J31" s="11" t="s">
        <v>204</v>
      </c>
      <c r="K31" s="20"/>
    </row>
    <row r="32" spans="1:11">
      <c r="A32" s="11" t="s">
        <v>174</v>
      </c>
      <c r="B32" s="11" t="s">
        <v>150</v>
      </c>
      <c r="C32" s="11" t="s">
        <v>340</v>
      </c>
      <c r="D32" s="10">
        <v>6.8261099999999999</v>
      </c>
      <c r="E32" s="10">
        <v>-6.6800000000000002E-3</v>
      </c>
      <c r="F32" s="17">
        <v>5.0000000000000001E-3</v>
      </c>
      <c r="G32" s="15">
        <v>90.8</v>
      </c>
      <c r="H32" s="18">
        <v>247.73822000000001</v>
      </c>
      <c r="I32" s="18">
        <v>11.88669</v>
      </c>
      <c r="J32" s="11" t="s">
        <v>204</v>
      </c>
      <c r="K32" s="20"/>
    </row>
    <row r="33" spans="1:11">
      <c r="A33" s="11" t="s">
        <v>175</v>
      </c>
      <c r="B33" s="11" t="s">
        <v>150</v>
      </c>
      <c r="C33" s="11" t="s">
        <v>340</v>
      </c>
      <c r="D33" s="10">
        <v>10.158810000000001</v>
      </c>
      <c r="E33" s="10">
        <v>2.1239999999999998E-2</v>
      </c>
      <c r="F33" s="17">
        <v>1.6E-2</v>
      </c>
      <c r="G33" s="15">
        <v>97.3</v>
      </c>
      <c r="H33" s="18">
        <v>255.59047000000001</v>
      </c>
      <c r="I33" s="18">
        <v>3.5144500000000001</v>
      </c>
      <c r="J33" s="11" t="s">
        <v>204</v>
      </c>
      <c r="K33" s="20"/>
    </row>
    <row r="34" spans="1:11">
      <c r="A34" s="11" t="s">
        <v>176</v>
      </c>
      <c r="B34" s="11" t="s">
        <v>150</v>
      </c>
      <c r="C34" s="11" t="s">
        <v>340</v>
      </c>
      <c r="D34" s="10">
        <v>10.522740000000001</v>
      </c>
      <c r="E34" s="10">
        <v>-4.4159999999999998E-2</v>
      </c>
      <c r="F34" s="17">
        <v>4.0000000000000001E-3</v>
      </c>
      <c r="G34" s="15">
        <v>84.2</v>
      </c>
      <c r="H34" s="18">
        <v>263.7328</v>
      </c>
      <c r="I34" s="18">
        <v>15.36539</v>
      </c>
      <c r="J34" s="11" t="s">
        <v>204</v>
      </c>
      <c r="K34" s="20"/>
    </row>
    <row r="35" spans="1:11">
      <c r="A35" s="11" t="s">
        <v>177</v>
      </c>
      <c r="B35" s="11" t="s">
        <v>150</v>
      </c>
      <c r="C35" s="11" t="s">
        <v>340</v>
      </c>
      <c r="D35" s="10">
        <v>5.9158299999999997</v>
      </c>
      <c r="E35" s="10">
        <v>8.6749999999999994E-2</v>
      </c>
      <c r="F35" s="17">
        <v>5.0000000000000001E-3</v>
      </c>
      <c r="G35" s="15">
        <v>9.6</v>
      </c>
      <c r="H35" s="18">
        <v>313.21874000000003</v>
      </c>
      <c r="I35" s="18">
        <v>21.63185</v>
      </c>
      <c r="J35" s="11" t="s">
        <v>204</v>
      </c>
      <c r="K35" s="20"/>
    </row>
    <row r="36" spans="1:11">
      <c r="A36" s="11" t="s">
        <v>178</v>
      </c>
      <c r="B36" s="11" t="s">
        <v>150</v>
      </c>
      <c r="C36" s="11" t="s">
        <v>340</v>
      </c>
      <c r="D36" s="10">
        <v>6.87683</v>
      </c>
      <c r="E36" s="10">
        <v>0.10251</v>
      </c>
      <c r="F36" s="17">
        <v>5.0000000000000001E-3</v>
      </c>
      <c r="G36" s="15">
        <v>6.4</v>
      </c>
      <c r="H36" s="18">
        <v>542.98494000000005</v>
      </c>
      <c r="I36" s="18">
        <v>45.753900000000002</v>
      </c>
      <c r="J36" s="11" t="s">
        <v>204</v>
      </c>
      <c r="K36" s="20"/>
    </row>
    <row r="37" spans="1:11">
      <c r="A37" s="11"/>
      <c r="B37" s="11"/>
      <c r="C37" s="11"/>
      <c r="D37" s="10"/>
      <c r="E37" s="10"/>
      <c r="F37" s="17"/>
      <c r="G37" s="15"/>
      <c r="H37" s="18"/>
      <c r="I37" s="18"/>
      <c r="K37" s="20"/>
    </row>
    <row r="38" spans="1:11">
      <c r="A38" s="11" t="s">
        <v>36</v>
      </c>
      <c r="B38" s="11" t="s">
        <v>37</v>
      </c>
      <c r="C38" s="11" t="s">
        <v>340</v>
      </c>
      <c r="D38" s="10">
        <v>6.6255600000000001</v>
      </c>
      <c r="E38" s="10">
        <v>5.7000000000000002E-3</v>
      </c>
      <c r="F38" s="17">
        <v>0.01</v>
      </c>
      <c r="G38" s="15">
        <v>12.4</v>
      </c>
      <c r="H38" s="18">
        <v>2.9805600000000001</v>
      </c>
      <c r="I38" s="18">
        <v>4.5567000000000002</v>
      </c>
      <c r="J38" s="11" t="s">
        <v>204</v>
      </c>
      <c r="K38" s="20"/>
    </row>
    <row r="39" spans="1:11">
      <c r="A39" s="11" t="s">
        <v>38</v>
      </c>
      <c r="B39" s="11" t="s">
        <v>39</v>
      </c>
      <c r="C39" s="11" t="s">
        <v>340</v>
      </c>
      <c r="D39" s="10">
        <v>5.9804199999999996</v>
      </c>
      <c r="E39" s="10">
        <v>-3.9480000000000001E-2</v>
      </c>
      <c r="F39" s="17">
        <v>5.0000000000000001E-3</v>
      </c>
      <c r="G39" s="15">
        <v>10.6</v>
      </c>
      <c r="H39" s="18">
        <v>3.3067299999999999</v>
      </c>
      <c r="I39" s="18">
        <v>8.1442899999999998</v>
      </c>
      <c r="J39" s="11" t="s">
        <v>204</v>
      </c>
      <c r="K39" s="20"/>
    </row>
    <row r="40" spans="1:11">
      <c r="A40" s="11" t="s">
        <v>40</v>
      </c>
      <c r="B40" s="11" t="s">
        <v>41</v>
      </c>
      <c r="C40" s="11" t="s">
        <v>340</v>
      </c>
      <c r="D40" s="10">
        <v>8.4200000000000004E-3</v>
      </c>
      <c r="E40" s="10">
        <v>1.179E-2</v>
      </c>
      <c r="F40" s="17">
        <v>1.7999999999999999E-2</v>
      </c>
      <c r="G40" s="15">
        <v>82.6</v>
      </c>
      <c r="H40" s="18">
        <v>110.7989</v>
      </c>
      <c r="I40" s="18">
        <v>2.5697399999999999</v>
      </c>
      <c r="J40" s="11" t="s">
        <v>205</v>
      </c>
      <c r="K40" s="20"/>
    </row>
    <row r="41" spans="1:11">
      <c r="A41" s="11" t="s">
        <v>42</v>
      </c>
      <c r="B41" s="11" t="s">
        <v>41</v>
      </c>
      <c r="C41" s="11" t="s">
        <v>340</v>
      </c>
      <c r="D41" s="10">
        <v>0.43658000000000002</v>
      </c>
      <c r="E41" s="10">
        <v>5.47E-3</v>
      </c>
      <c r="F41" s="17">
        <v>7.0000000000000001E-3</v>
      </c>
      <c r="G41" s="15">
        <v>40.299999999999997</v>
      </c>
      <c r="H41" s="18">
        <v>112.37056</v>
      </c>
      <c r="I41" s="18">
        <v>6.4117899999999999</v>
      </c>
      <c r="J41" s="11" t="s">
        <v>205</v>
      </c>
      <c r="K41" s="20"/>
    </row>
    <row r="42" spans="1:11">
      <c r="A42" s="11" t="s">
        <v>43</v>
      </c>
      <c r="B42" s="11" t="s">
        <v>41</v>
      </c>
      <c r="C42" s="11" t="s">
        <v>340</v>
      </c>
      <c r="D42" s="10">
        <v>6.6499999999999997E-3</v>
      </c>
      <c r="E42" s="10">
        <v>6.3000000000000003E-4</v>
      </c>
      <c r="F42" s="17">
        <v>4.1000000000000002E-2</v>
      </c>
      <c r="G42" s="15">
        <v>91.4</v>
      </c>
      <c r="H42" s="18">
        <v>113.48988</v>
      </c>
      <c r="I42" s="18">
        <v>1.2068700000000001</v>
      </c>
      <c r="J42" s="11" t="s">
        <v>205</v>
      </c>
      <c r="K42" s="20"/>
    </row>
    <row r="43" spans="1:11">
      <c r="A43" s="11" t="s">
        <v>44</v>
      </c>
      <c r="B43" s="11" t="s">
        <v>45</v>
      </c>
      <c r="C43" s="11" t="s">
        <v>340</v>
      </c>
      <c r="D43" s="10">
        <v>8.9819999999999997E-2</v>
      </c>
      <c r="E43" s="10">
        <v>-7.7600000000000004E-3</v>
      </c>
      <c r="F43" s="17">
        <v>1.7999999999999999E-2</v>
      </c>
      <c r="G43" s="15">
        <v>78.3</v>
      </c>
      <c r="H43" s="18">
        <v>114.72503</v>
      </c>
      <c r="I43" s="18">
        <v>2.5699200000000002</v>
      </c>
      <c r="J43" s="11" t="s">
        <v>205</v>
      </c>
      <c r="K43" s="20"/>
    </row>
    <row r="44" spans="1:11">
      <c r="A44" s="11" t="s">
        <v>46</v>
      </c>
      <c r="B44" s="11" t="s">
        <v>45</v>
      </c>
      <c r="C44" s="11" t="s">
        <v>340</v>
      </c>
      <c r="D44" s="10">
        <v>8.992E-2</v>
      </c>
      <c r="E44" s="10">
        <v>-1.4930000000000001E-2</v>
      </c>
      <c r="F44" s="17">
        <v>1.7999999999999999E-2</v>
      </c>
      <c r="G44" s="15">
        <v>56.5</v>
      </c>
      <c r="H44" s="18">
        <v>114.97889000000001</v>
      </c>
      <c r="I44" s="18">
        <v>2.9525600000000001</v>
      </c>
      <c r="J44" s="11" t="s">
        <v>205</v>
      </c>
      <c r="K44" s="20"/>
    </row>
    <row r="45" spans="1:11">
      <c r="A45" s="11" t="s">
        <v>47</v>
      </c>
      <c r="B45" s="11" t="s">
        <v>41</v>
      </c>
      <c r="C45" s="11" t="s">
        <v>340</v>
      </c>
      <c r="D45" s="10">
        <v>8.6199999999999992E-3</v>
      </c>
      <c r="E45" s="10">
        <v>-5.4599999999999996E-3</v>
      </c>
      <c r="F45" s="17">
        <v>5.1999999999999998E-2</v>
      </c>
      <c r="G45" s="15">
        <v>85.6</v>
      </c>
      <c r="H45" s="18">
        <v>115.73529000000001</v>
      </c>
      <c r="I45" s="18">
        <v>0.95931999999999995</v>
      </c>
      <c r="J45" s="11" t="s">
        <v>205</v>
      </c>
      <c r="K45" s="20"/>
    </row>
    <row r="46" spans="1:11">
      <c r="A46" s="11" t="s">
        <v>48</v>
      </c>
      <c r="B46" s="11" t="s">
        <v>41</v>
      </c>
      <c r="C46" s="11" t="s">
        <v>340</v>
      </c>
      <c r="D46" s="10">
        <v>3.526E-2</v>
      </c>
      <c r="E46" s="10">
        <v>1.3600000000000001E-3</v>
      </c>
      <c r="F46" s="17">
        <v>6.6000000000000003E-2</v>
      </c>
      <c r="G46" s="15">
        <v>95.6</v>
      </c>
      <c r="H46" s="18">
        <v>116.07615</v>
      </c>
      <c r="I46" s="18">
        <v>0.90586999999999995</v>
      </c>
      <c r="J46" s="11" t="s">
        <v>205</v>
      </c>
      <c r="K46" s="20"/>
    </row>
    <row r="47" spans="1:11">
      <c r="A47" s="11" t="s">
        <v>49</v>
      </c>
      <c r="B47" s="11" t="s">
        <v>39</v>
      </c>
      <c r="C47" s="11" t="s">
        <v>340</v>
      </c>
      <c r="D47" s="10">
        <v>6.164E-2</v>
      </c>
      <c r="E47" s="10">
        <v>-3.3910000000000003E-2</v>
      </c>
      <c r="F47" s="17">
        <v>8.0000000000000002E-3</v>
      </c>
      <c r="G47" s="15">
        <v>84.9</v>
      </c>
      <c r="H47" s="18">
        <v>116.81310999999999</v>
      </c>
      <c r="I47" s="18">
        <v>5.1632600000000002</v>
      </c>
      <c r="J47" s="11" t="s">
        <v>205</v>
      </c>
      <c r="K47" s="20"/>
    </row>
    <row r="48" spans="1:11">
      <c r="A48" s="11" t="s">
        <v>50</v>
      </c>
      <c r="B48" s="11" t="s">
        <v>41</v>
      </c>
      <c r="C48" s="11" t="s">
        <v>340</v>
      </c>
      <c r="D48" s="10">
        <v>6.3200000000000001E-3</v>
      </c>
      <c r="E48" s="10">
        <v>-5.0000000000000001E-4</v>
      </c>
      <c r="F48" s="17">
        <v>4.5999999999999999E-2</v>
      </c>
      <c r="G48" s="15">
        <v>91.9</v>
      </c>
      <c r="H48" s="18">
        <v>117.95062</v>
      </c>
      <c r="I48" s="18">
        <v>1.0126500000000001</v>
      </c>
      <c r="J48" s="11" t="s">
        <v>205</v>
      </c>
      <c r="K48" s="20"/>
    </row>
    <row r="49" spans="1:11">
      <c r="A49" s="11" t="s">
        <v>51</v>
      </c>
      <c r="B49" s="11" t="s">
        <v>41</v>
      </c>
      <c r="C49" s="11" t="s">
        <v>340</v>
      </c>
      <c r="D49" s="10">
        <v>6.4240000000000005E-2</v>
      </c>
      <c r="E49" s="10">
        <v>4.9899999999999996E-3</v>
      </c>
      <c r="F49" s="17">
        <v>2.1000000000000001E-2</v>
      </c>
      <c r="G49" s="15">
        <v>62.8</v>
      </c>
      <c r="H49" s="18">
        <v>123.37502000000001</v>
      </c>
      <c r="I49" s="18">
        <v>2.28729</v>
      </c>
      <c r="J49" s="11" t="s">
        <v>205</v>
      </c>
      <c r="K49" s="20"/>
    </row>
    <row r="50" spans="1:11">
      <c r="A50" s="11" t="s">
        <v>52</v>
      </c>
      <c r="B50" s="11" t="s">
        <v>37</v>
      </c>
      <c r="C50" s="11" t="s">
        <v>340</v>
      </c>
      <c r="D50" s="10">
        <v>7.6610899999999997</v>
      </c>
      <c r="E50" s="10">
        <v>2.5000000000000001E-3</v>
      </c>
      <c r="F50" s="17">
        <v>0.186</v>
      </c>
      <c r="G50" s="15">
        <v>69.900000000000006</v>
      </c>
      <c r="H50" s="18">
        <v>127.703</v>
      </c>
      <c r="I50" s="18">
        <v>0.97845000000000004</v>
      </c>
      <c r="J50" s="11" t="s">
        <v>204</v>
      </c>
      <c r="K50" s="20"/>
    </row>
    <row r="51" spans="1:11">
      <c r="A51" s="11" t="s">
        <v>53</v>
      </c>
      <c r="B51" s="11" t="s">
        <v>54</v>
      </c>
      <c r="C51" s="11" t="s">
        <v>340</v>
      </c>
      <c r="D51" s="10">
        <v>5.5620000000000003E-2</v>
      </c>
      <c r="E51" s="10">
        <v>-3.96E-3</v>
      </c>
      <c r="F51" s="17">
        <v>0.01</v>
      </c>
      <c r="G51" s="15">
        <v>85.1</v>
      </c>
      <c r="H51" s="18">
        <v>143.78960000000001</v>
      </c>
      <c r="I51" s="18">
        <v>4.2646699999999997</v>
      </c>
      <c r="J51" s="11" t="s">
        <v>205</v>
      </c>
      <c r="K51" s="20"/>
    </row>
    <row r="52" spans="1:11">
      <c r="A52" s="11" t="s">
        <v>55</v>
      </c>
      <c r="B52" s="11" t="s">
        <v>37</v>
      </c>
      <c r="C52" s="11" t="s">
        <v>340</v>
      </c>
      <c r="D52" s="10">
        <v>0.52942999999999996</v>
      </c>
      <c r="E52" s="10">
        <v>-2.7009999999999999E-2</v>
      </c>
      <c r="F52" s="17">
        <v>5.0000000000000001E-3</v>
      </c>
      <c r="G52" s="15">
        <v>44.2</v>
      </c>
      <c r="H52" s="18">
        <v>150.96086</v>
      </c>
      <c r="I52" s="18">
        <v>10.018179999999999</v>
      </c>
      <c r="J52" s="11" t="s">
        <v>204</v>
      </c>
      <c r="K52" s="20"/>
    </row>
    <row r="53" spans="1:11">
      <c r="A53" s="11" t="s">
        <v>56</v>
      </c>
      <c r="B53" s="11" t="s">
        <v>54</v>
      </c>
      <c r="C53" s="11" t="s">
        <v>340</v>
      </c>
      <c r="D53" s="10">
        <v>8.9337800000000005</v>
      </c>
      <c r="E53" s="10">
        <v>3.0259999999999999E-2</v>
      </c>
      <c r="F53" s="17">
        <v>6.0000000000000001E-3</v>
      </c>
      <c r="G53" s="15">
        <v>58.6</v>
      </c>
      <c r="H53" s="18">
        <v>200.61677</v>
      </c>
      <c r="I53" s="18">
        <v>8.1843599999999999</v>
      </c>
      <c r="J53" s="11" t="s">
        <v>204</v>
      </c>
      <c r="K53" s="20"/>
    </row>
    <row r="54" spans="1:11">
      <c r="A54" s="11" t="s">
        <v>57</v>
      </c>
      <c r="B54" s="11" t="s">
        <v>41</v>
      </c>
      <c r="C54" s="11" t="s">
        <v>340</v>
      </c>
      <c r="D54" s="10">
        <v>9.2340000000000005E-2</v>
      </c>
      <c r="E54" s="10">
        <v>1.09E-3</v>
      </c>
      <c r="F54" s="17">
        <v>0.126</v>
      </c>
      <c r="G54" s="15">
        <v>92.4</v>
      </c>
      <c r="H54" s="18">
        <v>209.06308999999999</v>
      </c>
      <c r="I54" s="18">
        <v>0.86216999999999999</v>
      </c>
      <c r="J54" s="11" t="s">
        <v>205</v>
      </c>
      <c r="K54" s="20"/>
    </row>
    <row r="55" spans="1:11">
      <c r="A55" s="11" t="s">
        <v>58</v>
      </c>
      <c r="B55" s="11" t="s">
        <v>37</v>
      </c>
      <c r="C55" s="11" t="s">
        <v>340</v>
      </c>
      <c r="D55" s="10">
        <v>9.2966800000000003</v>
      </c>
      <c r="E55" s="10">
        <v>1.337E-2</v>
      </c>
      <c r="F55" s="17">
        <v>7.0000000000000001E-3</v>
      </c>
      <c r="G55" s="15">
        <v>9.8000000000000007</v>
      </c>
      <c r="H55" s="18">
        <v>246.11084</v>
      </c>
      <c r="I55" s="18">
        <v>25.10042</v>
      </c>
      <c r="J55" s="11" t="s">
        <v>204</v>
      </c>
      <c r="K55" s="20"/>
    </row>
    <row r="56" spans="1:11">
      <c r="A56" s="11"/>
      <c r="B56" s="11"/>
      <c r="C56" s="11"/>
      <c r="D56" s="10"/>
      <c r="E56" s="10"/>
      <c r="F56" s="17"/>
      <c r="G56" s="15"/>
      <c r="H56" s="18"/>
      <c r="I56" s="18"/>
      <c r="K56" s="23"/>
    </row>
    <row r="57" spans="1:11">
      <c r="A57" s="11" t="s">
        <v>59</v>
      </c>
      <c r="B57" s="11" t="s">
        <v>60</v>
      </c>
      <c r="C57" s="11" t="s">
        <v>340</v>
      </c>
      <c r="D57" s="10">
        <v>3.7089999999999998E-2</v>
      </c>
      <c r="E57" s="10">
        <v>6.2500000000000003E-3</v>
      </c>
      <c r="F57" s="17">
        <v>1.4999999999999999E-2</v>
      </c>
      <c r="G57" s="15">
        <v>49.4</v>
      </c>
      <c r="H57" s="18">
        <v>101.15697</v>
      </c>
      <c r="I57" s="18">
        <v>3.0404</v>
      </c>
      <c r="J57" s="11" t="s">
        <v>205</v>
      </c>
      <c r="K57" s="23"/>
    </row>
    <row r="58" spans="1:11">
      <c r="A58" s="11" t="s">
        <v>61</v>
      </c>
      <c r="B58" s="11" t="s">
        <v>62</v>
      </c>
      <c r="C58" s="11" t="s">
        <v>340</v>
      </c>
      <c r="D58" s="10">
        <v>3.9890000000000002E-2</v>
      </c>
      <c r="E58" s="10">
        <v>1.9820000000000001E-2</v>
      </c>
      <c r="F58" s="17">
        <v>8.0000000000000002E-3</v>
      </c>
      <c r="G58" s="15">
        <v>65.7</v>
      </c>
      <c r="H58" s="18">
        <v>104.45258</v>
      </c>
      <c r="I58" s="18">
        <v>6.6653799999999999</v>
      </c>
      <c r="J58" s="11" t="s">
        <v>205</v>
      </c>
      <c r="K58" s="23"/>
    </row>
    <row r="59" spans="1:11">
      <c r="A59" s="11" t="s">
        <v>63</v>
      </c>
      <c r="B59" s="11" t="s">
        <v>64</v>
      </c>
      <c r="C59" s="11" t="s">
        <v>340</v>
      </c>
      <c r="D59" s="10">
        <v>7.9460000000000003E-2</v>
      </c>
      <c r="E59" s="10">
        <v>1.8E-3</v>
      </c>
      <c r="F59" s="17">
        <v>2.1000000000000001E-2</v>
      </c>
      <c r="G59" s="15">
        <v>85</v>
      </c>
      <c r="H59" s="18">
        <v>112.85214000000001</v>
      </c>
      <c r="I59" s="18">
        <v>2.1312899999999999</v>
      </c>
      <c r="J59" s="11" t="s">
        <v>205</v>
      </c>
      <c r="K59" s="23"/>
    </row>
    <row r="60" spans="1:11">
      <c r="A60" s="11" t="s">
        <v>65</v>
      </c>
      <c r="B60" s="11" t="s">
        <v>62</v>
      </c>
      <c r="C60" s="11" t="s">
        <v>340</v>
      </c>
      <c r="D60" s="10">
        <v>1.8749999999999999E-2</v>
      </c>
      <c r="E60" s="10">
        <v>1.0000000000000001E-5</v>
      </c>
      <c r="F60" s="17">
        <v>0.61</v>
      </c>
      <c r="G60" s="15">
        <v>84</v>
      </c>
      <c r="H60" s="18">
        <v>113.02482000000001</v>
      </c>
      <c r="I60" s="18">
        <v>0.52353000000000005</v>
      </c>
      <c r="J60" s="11" t="s">
        <v>205</v>
      </c>
      <c r="K60" s="23"/>
    </row>
    <row r="61" spans="1:11">
      <c r="A61" s="11" t="s">
        <v>66</v>
      </c>
      <c r="B61" s="11" t="s">
        <v>67</v>
      </c>
      <c r="C61" s="11" t="s">
        <v>340</v>
      </c>
      <c r="D61" s="10">
        <v>4.5400000000000003E-2</v>
      </c>
      <c r="E61" s="10">
        <v>-2.9E-4</v>
      </c>
      <c r="F61" s="17">
        <v>0.156</v>
      </c>
      <c r="G61" s="15">
        <v>94.9</v>
      </c>
      <c r="H61" s="18">
        <v>113.17694</v>
      </c>
      <c r="I61" s="18">
        <v>0.56813000000000002</v>
      </c>
      <c r="J61" s="11" t="s">
        <v>205</v>
      </c>
      <c r="K61" s="23"/>
    </row>
    <row r="62" spans="1:11">
      <c r="A62" s="11" t="s">
        <v>68</v>
      </c>
      <c r="B62" s="11" t="s">
        <v>60</v>
      </c>
      <c r="C62" s="11" t="s">
        <v>340</v>
      </c>
      <c r="D62" s="10">
        <v>1.0200000000000001E-3</v>
      </c>
      <c r="E62" s="10">
        <v>-1.4599999999999999E-3</v>
      </c>
      <c r="F62" s="17">
        <v>6.7000000000000004E-2</v>
      </c>
      <c r="G62" s="15">
        <v>97.1</v>
      </c>
      <c r="H62" s="18">
        <v>113.76689</v>
      </c>
      <c r="I62" s="18">
        <v>0.84401000000000004</v>
      </c>
      <c r="J62" s="11" t="s">
        <v>205</v>
      </c>
      <c r="K62" s="23"/>
    </row>
    <row r="63" spans="1:11">
      <c r="A63" s="11" t="s">
        <v>69</v>
      </c>
      <c r="B63" s="11" t="s">
        <v>60</v>
      </c>
      <c r="C63" s="11" t="s">
        <v>340</v>
      </c>
      <c r="D63" s="10">
        <v>-1.4590000000000001E-2</v>
      </c>
      <c r="E63" s="10">
        <v>2.0200000000000001E-3</v>
      </c>
      <c r="F63" s="17">
        <v>7.0000000000000007E-2</v>
      </c>
      <c r="G63" s="15">
        <v>88.8</v>
      </c>
      <c r="H63" s="18">
        <v>114.23224999999999</v>
      </c>
      <c r="I63" s="18">
        <v>0.96863999999999995</v>
      </c>
      <c r="J63" s="11" t="s">
        <v>205</v>
      </c>
      <c r="K63" s="23"/>
    </row>
    <row r="64" spans="1:11">
      <c r="A64" s="11" t="s">
        <v>70</v>
      </c>
      <c r="B64" s="11" t="s">
        <v>64</v>
      </c>
      <c r="C64" s="11" t="s">
        <v>340</v>
      </c>
      <c r="D64" s="10">
        <v>3.5150000000000001E-2</v>
      </c>
      <c r="E64" s="10">
        <v>2.0000000000000002E-5</v>
      </c>
      <c r="F64" s="17">
        <v>0.28799999999999998</v>
      </c>
      <c r="G64" s="15">
        <v>97.6</v>
      </c>
      <c r="H64" s="18">
        <v>114.68474000000001</v>
      </c>
      <c r="I64" s="18">
        <v>0.39319999999999999</v>
      </c>
      <c r="J64" s="11" t="s">
        <v>205</v>
      </c>
      <c r="K64" s="23"/>
    </row>
    <row r="65" spans="1:11">
      <c r="A65" s="11" t="s">
        <v>71</v>
      </c>
      <c r="B65" s="11" t="s">
        <v>62</v>
      </c>
      <c r="C65" s="11" t="s">
        <v>340</v>
      </c>
      <c r="D65" s="10">
        <v>1.78E-2</v>
      </c>
      <c r="E65" s="10">
        <v>5.4599999999999996E-3</v>
      </c>
      <c r="F65" s="17">
        <v>3.1E-2</v>
      </c>
      <c r="G65" s="15">
        <v>96.4</v>
      </c>
      <c r="H65" s="18">
        <v>115.11772999999999</v>
      </c>
      <c r="I65" s="18">
        <v>1.40652</v>
      </c>
      <c r="J65" s="11" t="s">
        <v>205</v>
      </c>
      <c r="K65" s="23"/>
    </row>
    <row r="66" spans="1:11">
      <c r="A66" s="11" t="s">
        <v>72</v>
      </c>
      <c r="B66" s="11" t="s">
        <v>62</v>
      </c>
      <c r="C66" s="11" t="s">
        <v>340</v>
      </c>
      <c r="D66" s="10">
        <v>4.5099099999999996</v>
      </c>
      <c r="E66" s="10">
        <v>-1.01E-3</v>
      </c>
      <c r="F66" s="17">
        <v>7.0000000000000007E-2</v>
      </c>
      <c r="G66" s="15">
        <v>59.9</v>
      </c>
      <c r="H66" s="18">
        <v>116.00769</v>
      </c>
      <c r="I66" s="18">
        <v>1.3660399999999999</v>
      </c>
      <c r="J66" s="11" t="s">
        <v>204</v>
      </c>
      <c r="K66" s="23"/>
    </row>
    <row r="67" spans="1:11">
      <c r="A67" s="11" t="s">
        <v>73</v>
      </c>
      <c r="B67" s="11" t="s">
        <v>67</v>
      </c>
      <c r="C67" s="11" t="s">
        <v>340</v>
      </c>
      <c r="D67" s="10">
        <v>6.6141899999999998</v>
      </c>
      <c r="E67" s="10">
        <v>3.3999999999999998E-3</v>
      </c>
      <c r="F67" s="17">
        <v>6.8000000000000005E-2</v>
      </c>
      <c r="G67" s="15">
        <v>79.599999999999994</v>
      </c>
      <c r="H67" s="18">
        <v>116.45909</v>
      </c>
      <c r="I67" s="18">
        <v>0.90595999999999999</v>
      </c>
      <c r="J67" s="11" t="s">
        <v>204</v>
      </c>
      <c r="K67" s="23"/>
    </row>
    <row r="68" spans="1:11">
      <c r="A68" s="11" t="s">
        <v>74</v>
      </c>
      <c r="B68" s="11" t="s">
        <v>64</v>
      </c>
      <c r="C68" s="11" t="s">
        <v>340</v>
      </c>
      <c r="D68" s="10">
        <v>1.2625999999999999</v>
      </c>
      <c r="E68" s="10">
        <v>2.0600000000000002E-3</v>
      </c>
      <c r="F68" s="17">
        <v>0.10299999999999999</v>
      </c>
      <c r="G68" s="15">
        <v>83.9</v>
      </c>
      <c r="H68" s="18">
        <v>116.69659</v>
      </c>
      <c r="I68" s="18">
        <v>0.72497999999999996</v>
      </c>
      <c r="J68" s="11" t="s">
        <v>205</v>
      </c>
      <c r="K68" s="23"/>
    </row>
    <row r="69" spans="1:11">
      <c r="A69" s="11" t="s">
        <v>75</v>
      </c>
      <c r="B69" s="11" t="s">
        <v>62</v>
      </c>
      <c r="C69" s="11" t="s">
        <v>340</v>
      </c>
      <c r="D69" s="10">
        <v>150.30833000000001</v>
      </c>
      <c r="E69" s="10">
        <v>-8.2699999999999996E-2</v>
      </c>
      <c r="F69" s="17">
        <v>2E-3</v>
      </c>
      <c r="G69" s="15">
        <v>22.6</v>
      </c>
      <c r="H69" s="18">
        <v>117.51566</v>
      </c>
      <c r="I69" s="18">
        <v>22.228120000000001</v>
      </c>
      <c r="J69" s="11" t="s">
        <v>204</v>
      </c>
      <c r="K69" s="23"/>
    </row>
    <row r="70" spans="1:11">
      <c r="A70" s="11" t="s">
        <v>76</v>
      </c>
      <c r="B70" s="11" t="s">
        <v>62</v>
      </c>
      <c r="C70" s="11" t="s">
        <v>340</v>
      </c>
      <c r="D70" s="10">
        <v>9.6170000000000005E-2</v>
      </c>
      <c r="E70" s="10">
        <v>4.4000000000000003E-3</v>
      </c>
      <c r="F70" s="17">
        <v>1.6E-2</v>
      </c>
      <c r="G70" s="15">
        <v>86.2</v>
      </c>
      <c r="H70" s="18">
        <v>120.77489</v>
      </c>
      <c r="I70" s="18">
        <v>2.8849999999999998</v>
      </c>
      <c r="J70" s="11" t="s">
        <v>205</v>
      </c>
      <c r="K70" s="23"/>
    </row>
    <row r="71" spans="1:11">
      <c r="A71" s="11" t="s">
        <v>77</v>
      </c>
      <c r="B71" s="11" t="s">
        <v>64</v>
      </c>
      <c r="C71" s="11" t="s">
        <v>340</v>
      </c>
      <c r="D71" s="10">
        <v>2.4649999999999998E-2</v>
      </c>
      <c r="E71" s="10">
        <v>1.355E-2</v>
      </c>
      <c r="F71" s="17">
        <v>2.1000000000000001E-2</v>
      </c>
      <c r="G71" s="15">
        <v>96.3</v>
      </c>
      <c r="H71" s="18">
        <v>121.93311</v>
      </c>
      <c r="I71" s="18">
        <v>2.07768</v>
      </c>
      <c r="J71" s="11" t="s">
        <v>205</v>
      </c>
      <c r="K71" s="23"/>
    </row>
    <row r="72" spans="1:11">
      <c r="A72" s="11" t="s">
        <v>78</v>
      </c>
      <c r="B72" s="11" t="s">
        <v>60</v>
      </c>
      <c r="C72" s="11" t="s">
        <v>340</v>
      </c>
      <c r="D72" s="10">
        <v>-4.6399999999999997E-2</v>
      </c>
      <c r="E72" s="10">
        <v>4.0200000000000001E-3</v>
      </c>
      <c r="F72" s="17">
        <v>2.4E-2</v>
      </c>
      <c r="G72" s="15">
        <v>108</v>
      </c>
      <c r="H72" s="18">
        <v>122.87954999999999</v>
      </c>
      <c r="I72" s="18">
        <v>3.15036</v>
      </c>
      <c r="J72" s="11" t="s">
        <v>205</v>
      </c>
      <c r="K72" s="23"/>
    </row>
    <row r="73" spans="1:11">
      <c r="A73" s="11" t="s">
        <v>79</v>
      </c>
      <c r="B73" s="11" t="s">
        <v>64</v>
      </c>
      <c r="C73" s="11" t="s">
        <v>340</v>
      </c>
      <c r="D73" s="10">
        <v>4.5117000000000003</v>
      </c>
      <c r="E73" s="10">
        <v>-1.7799999999999999E-3</v>
      </c>
      <c r="F73" s="17">
        <v>7.0000000000000001E-3</v>
      </c>
      <c r="G73" s="15">
        <v>28.6</v>
      </c>
      <c r="H73" s="18">
        <v>123.19745</v>
      </c>
      <c r="I73" s="18">
        <v>6.6805199999999996</v>
      </c>
      <c r="J73" s="11" t="s">
        <v>204</v>
      </c>
      <c r="K73" s="23"/>
    </row>
    <row r="74" spans="1:11">
      <c r="A74" s="11" t="s">
        <v>80</v>
      </c>
      <c r="B74" s="11" t="s">
        <v>62</v>
      </c>
      <c r="C74" s="11" t="s">
        <v>340</v>
      </c>
      <c r="D74" s="10">
        <v>-2.5329999999999998E-2</v>
      </c>
      <c r="E74" s="10">
        <v>6.5500000000000003E-3</v>
      </c>
      <c r="F74" s="17">
        <v>2.1999999999999999E-2</v>
      </c>
      <c r="G74" s="15">
        <v>94.2</v>
      </c>
      <c r="H74" s="18">
        <v>137.51057</v>
      </c>
      <c r="I74" s="18">
        <v>2.1981099999999998</v>
      </c>
      <c r="J74" s="11" t="s">
        <v>205</v>
      </c>
      <c r="K74" s="23"/>
    </row>
    <row r="75" spans="1:11">
      <c r="A75" s="11" t="s">
        <v>81</v>
      </c>
      <c r="B75" s="11" t="s">
        <v>67</v>
      </c>
      <c r="C75" s="11" t="s">
        <v>340</v>
      </c>
      <c r="D75" s="10">
        <v>-0.11198</v>
      </c>
      <c r="E75" s="10">
        <v>5.3800000000000002E-3</v>
      </c>
      <c r="F75" s="17">
        <v>1.0999999999999999E-2</v>
      </c>
      <c r="G75" s="15">
        <v>89.3</v>
      </c>
      <c r="H75" s="18">
        <v>140.01804999999999</v>
      </c>
      <c r="I75" s="18">
        <v>4.1971699999999998</v>
      </c>
      <c r="J75" s="11" t="s">
        <v>205</v>
      </c>
      <c r="K75" s="23"/>
    </row>
    <row r="76" spans="1:11">
      <c r="A76" s="11" t="s">
        <v>82</v>
      </c>
      <c r="B76" s="11" t="s">
        <v>62</v>
      </c>
      <c r="C76" s="11" t="s">
        <v>340</v>
      </c>
      <c r="D76" s="10">
        <v>3.1989999999999998E-2</v>
      </c>
      <c r="E76" s="10">
        <v>1.7799999999999999E-3</v>
      </c>
      <c r="F76" s="17">
        <v>1.7999999999999999E-2</v>
      </c>
      <c r="G76" s="15">
        <v>89.4</v>
      </c>
      <c r="H76" s="18">
        <v>145.08027999999999</v>
      </c>
      <c r="I76" s="18">
        <v>2.3677999999999999</v>
      </c>
      <c r="J76" s="11" t="s">
        <v>205</v>
      </c>
      <c r="K76" s="23"/>
    </row>
    <row r="77" spans="1:11">
      <c r="A77" s="11" t="s">
        <v>83</v>
      </c>
      <c r="B77" s="11" t="s">
        <v>84</v>
      </c>
      <c r="C77" s="11" t="s">
        <v>340</v>
      </c>
      <c r="D77" s="10">
        <v>-1.12E-2</v>
      </c>
      <c r="E77" s="10">
        <v>1.6389999999999998E-2</v>
      </c>
      <c r="F77" s="17">
        <v>2.3E-2</v>
      </c>
      <c r="G77" s="15">
        <v>91.6</v>
      </c>
      <c r="H77" s="18">
        <v>145.22845000000001</v>
      </c>
      <c r="I77" s="18">
        <v>1.97539</v>
      </c>
      <c r="J77" s="11" t="s">
        <v>205</v>
      </c>
      <c r="K77" s="23"/>
    </row>
    <row r="78" spans="1:11">
      <c r="A78" s="11" t="s">
        <v>85</v>
      </c>
      <c r="B78" s="11" t="s">
        <v>62</v>
      </c>
      <c r="C78" s="11" t="s">
        <v>340</v>
      </c>
      <c r="D78" s="10">
        <v>10.15807</v>
      </c>
      <c r="E78" s="10">
        <v>-2.8320000000000001E-2</v>
      </c>
      <c r="F78" s="17">
        <v>4.0000000000000001E-3</v>
      </c>
      <c r="G78" s="15">
        <v>65</v>
      </c>
      <c r="H78" s="18">
        <v>181.83091999999999</v>
      </c>
      <c r="I78" s="18">
        <v>11.14664</v>
      </c>
      <c r="J78" s="11" t="s">
        <v>204</v>
      </c>
      <c r="K78" s="23"/>
    </row>
    <row r="79" spans="1:11">
      <c r="A79" s="11" t="s">
        <v>86</v>
      </c>
      <c r="B79" s="11" t="s">
        <v>84</v>
      </c>
      <c r="C79" s="11" t="s">
        <v>340</v>
      </c>
      <c r="D79" s="10">
        <v>2.0930000000000001E-2</v>
      </c>
      <c r="E79" s="10">
        <v>2.5260000000000001E-2</v>
      </c>
      <c r="F79" s="17">
        <v>4.0000000000000001E-3</v>
      </c>
      <c r="G79" s="15">
        <v>42</v>
      </c>
      <c r="H79" s="18">
        <v>185.03699</v>
      </c>
      <c r="I79" s="18">
        <v>10.462070000000001</v>
      </c>
      <c r="J79" s="11" t="s">
        <v>205</v>
      </c>
      <c r="K79" s="23"/>
    </row>
    <row r="80" spans="1:11">
      <c r="A80" s="11" t="s">
        <v>87</v>
      </c>
      <c r="B80" s="11" t="s">
        <v>62</v>
      </c>
      <c r="C80" s="11" t="s">
        <v>340</v>
      </c>
      <c r="D80" s="10">
        <v>4.2450000000000002E-2</v>
      </c>
      <c r="E80" s="10">
        <v>-2.001E-2</v>
      </c>
      <c r="F80" s="17">
        <v>1.6E-2</v>
      </c>
      <c r="G80" s="15">
        <v>78.7</v>
      </c>
      <c r="H80" s="18">
        <v>197.46324000000001</v>
      </c>
      <c r="I80" s="18">
        <v>3.01478</v>
      </c>
      <c r="J80" s="11" t="s">
        <v>205</v>
      </c>
      <c r="K80" s="23"/>
    </row>
    <row r="81" spans="1:13">
      <c r="A81" s="11" t="s">
        <v>88</v>
      </c>
      <c r="B81" s="11" t="s">
        <v>60</v>
      </c>
      <c r="C81" s="11" t="s">
        <v>340</v>
      </c>
      <c r="D81" s="10">
        <v>0.29980000000000001</v>
      </c>
      <c r="E81" s="10">
        <v>7.4000000000000003E-3</v>
      </c>
      <c r="F81" s="17">
        <v>6.0000000000000001E-3</v>
      </c>
      <c r="G81" s="15">
        <v>82.9</v>
      </c>
      <c r="H81" s="18">
        <v>217.50716</v>
      </c>
      <c r="I81" s="18">
        <v>7.4144699999999997</v>
      </c>
      <c r="J81" s="11" t="s">
        <v>205</v>
      </c>
      <c r="K81" s="23"/>
    </row>
    <row r="82" spans="1:13">
      <c r="A82" s="11" t="s">
        <v>89</v>
      </c>
      <c r="B82" s="11" t="s">
        <v>64</v>
      </c>
      <c r="C82" s="11" t="s">
        <v>340</v>
      </c>
      <c r="D82" s="10">
        <v>31.444780000000002</v>
      </c>
      <c r="E82" s="10">
        <v>1E-3</v>
      </c>
      <c r="F82" s="17">
        <v>5.0000000000000001E-3</v>
      </c>
      <c r="G82" s="15">
        <v>40.5</v>
      </c>
      <c r="H82" s="18">
        <v>250.89867000000001</v>
      </c>
      <c r="I82" s="18">
        <v>10.93674</v>
      </c>
      <c r="J82" s="11" t="s">
        <v>204</v>
      </c>
      <c r="K82" s="23"/>
    </row>
    <row r="83" spans="1:13">
      <c r="A83" s="11" t="s">
        <v>90</v>
      </c>
      <c r="B83" s="11" t="s">
        <v>64</v>
      </c>
      <c r="C83" s="11" t="s">
        <v>340</v>
      </c>
      <c r="D83" s="10">
        <v>7.4279999999999999E-2</v>
      </c>
      <c r="E83" s="10">
        <v>-7.7999999999999996E-3</v>
      </c>
      <c r="F83" s="17">
        <v>2.1999999999999999E-2</v>
      </c>
      <c r="G83" s="15">
        <v>96.4</v>
      </c>
      <c r="H83" s="18">
        <v>265.02947999999998</v>
      </c>
      <c r="I83" s="18">
        <v>2.226</v>
      </c>
      <c r="J83" s="11" t="s">
        <v>205</v>
      </c>
      <c r="K83" s="23"/>
    </row>
    <row r="84" spans="1:13">
      <c r="A84" s="11"/>
      <c r="B84" s="11"/>
      <c r="C84" s="11"/>
      <c r="D84" s="10"/>
      <c r="E84" s="10"/>
      <c r="F84" s="17"/>
      <c r="G84" s="15"/>
      <c r="H84" s="18"/>
      <c r="I84" s="18"/>
      <c r="K84" s="20"/>
    </row>
    <row r="85" spans="1:13">
      <c r="A85" s="11" t="s">
        <v>179</v>
      </c>
      <c r="B85" s="11" t="s">
        <v>291</v>
      </c>
      <c r="C85" s="11" t="s">
        <v>340</v>
      </c>
      <c r="D85" s="10">
        <v>0.47570000000000001</v>
      </c>
      <c r="E85" s="10">
        <v>8.6899999999999998E-3</v>
      </c>
      <c r="F85" s="17">
        <v>0.60899999999999999</v>
      </c>
      <c r="G85" s="15">
        <v>27.5</v>
      </c>
      <c r="H85" s="18">
        <v>19.42136</v>
      </c>
      <c r="I85" s="18">
        <v>0.3513389400919858</v>
      </c>
      <c r="J85" s="11" t="s">
        <v>205</v>
      </c>
      <c r="K85" s="20"/>
      <c r="M85" s="18"/>
    </row>
    <row r="86" spans="1:13">
      <c r="A86" s="11" t="s">
        <v>180</v>
      </c>
      <c r="B86" s="11" t="s">
        <v>291</v>
      </c>
      <c r="C86" s="11" t="s">
        <v>340</v>
      </c>
      <c r="D86" s="10">
        <v>27.854970000000002</v>
      </c>
      <c r="E86" s="10">
        <v>5.323E-2</v>
      </c>
      <c r="F86" s="17">
        <v>6.0000000000000001E-3</v>
      </c>
      <c r="G86" s="15">
        <v>16.5</v>
      </c>
      <c r="H86" s="18">
        <v>57.151760000000003</v>
      </c>
      <c r="I86" s="18">
        <v>6.3790634888837534</v>
      </c>
      <c r="J86" s="11" t="s">
        <v>204</v>
      </c>
      <c r="K86" s="20"/>
      <c r="M86" s="18"/>
    </row>
    <row r="87" spans="1:13">
      <c r="A87" s="11" t="s">
        <v>181</v>
      </c>
      <c r="B87" s="11" t="s">
        <v>291</v>
      </c>
      <c r="C87" s="11" t="s">
        <v>340</v>
      </c>
      <c r="D87" s="10">
        <v>57.027970000000003</v>
      </c>
      <c r="E87" s="10">
        <v>1.4019999999999999E-2</v>
      </c>
      <c r="F87" s="17">
        <v>0.126</v>
      </c>
      <c r="G87" s="15">
        <v>17.7</v>
      </c>
      <c r="H87" s="18">
        <v>58.719209999999997</v>
      </c>
      <c r="I87" s="18">
        <v>1.6134442668720881</v>
      </c>
      <c r="J87" s="11" t="s">
        <v>204</v>
      </c>
      <c r="K87" s="20"/>
      <c r="M87" s="18"/>
    </row>
    <row r="88" spans="1:13">
      <c r="A88" s="11" t="s">
        <v>182</v>
      </c>
      <c r="B88" s="11" t="s">
        <v>291</v>
      </c>
      <c r="C88" s="11" t="s">
        <v>340</v>
      </c>
      <c r="D88" s="10">
        <v>3.97316</v>
      </c>
      <c r="E88" s="10">
        <v>1.6889999999999999E-2</v>
      </c>
      <c r="F88" s="17">
        <v>2.5999999999999999E-2</v>
      </c>
      <c r="G88" s="15">
        <v>11.4</v>
      </c>
      <c r="H88" s="18">
        <v>90.397710000000004</v>
      </c>
      <c r="I88" s="18">
        <v>4.3844911770266348</v>
      </c>
      <c r="J88" s="11" t="s">
        <v>204</v>
      </c>
      <c r="K88" s="20"/>
      <c r="M88" s="18"/>
    </row>
    <row r="89" spans="1:13">
      <c r="A89" s="11" t="s">
        <v>183</v>
      </c>
      <c r="B89" s="11" t="s">
        <v>291</v>
      </c>
      <c r="C89" s="11" t="s">
        <v>340</v>
      </c>
      <c r="D89" s="10">
        <v>13.47753</v>
      </c>
      <c r="E89" s="10">
        <v>3.0400000000000002E-3</v>
      </c>
      <c r="F89" s="17">
        <v>0.19500000000000001</v>
      </c>
      <c r="G89" s="15">
        <v>20.100000000000001</v>
      </c>
      <c r="H89" s="18">
        <v>90.581249999999997</v>
      </c>
      <c r="I89" s="18">
        <v>1.9769022975494388</v>
      </c>
      <c r="J89" s="11" t="s">
        <v>204</v>
      </c>
      <c r="K89" s="20"/>
      <c r="M89" s="18"/>
    </row>
    <row r="90" spans="1:13">
      <c r="A90" s="11" t="s">
        <v>184</v>
      </c>
      <c r="B90" s="11" t="s">
        <v>291</v>
      </c>
      <c r="C90" s="11" t="s">
        <v>340</v>
      </c>
      <c r="D90" s="10">
        <v>3.3604799999999999</v>
      </c>
      <c r="E90" s="10">
        <v>-4.0000000000000003E-5</v>
      </c>
      <c r="F90" s="17">
        <v>8.5999999999999993E-2</v>
      </c>
      <c r="G90" s="15">
        <v>28.2</v>
      </c>
      <c r="H90" s="18">
        <v>95.674570000000003</v>
      </c>
      <c r="I90" s="18">
        <v>1.7959561087255138</v>
      </c>
      <c r="J90" s="11" t="s">
        <v>204</v>
      </c>
      <c r="K90" s="20"/>
      <c r="M90" s="18"/>
    </row>
    <row r="91" spans="1:13">
      <c r="A91" s="11" t="s">
        <v>185</v>
      </c>
      <c r="B91" s="11" t="s">
        <v>291</v>
      </c>
      <c r="C91" s="11" t="s">
        <v>340</v>
      </c>
      <c r="D91" s="10">
        <v>4.8665099999999999</v>
      </c>
      <c r="E91" s="10">
        <v>6.0499999999999998E-3</v>
      </c>
      <c r="F91" s="17">
        <v>0.372</v>
      </c>
      <c r="G91" s="15">
        <v>55.6</v>
      </c>
      <c r="H91" s="18">
        <v>96.636420000000001</v>
      </c>
      <c r="I91" s="18">
        <v>1.1007267177377136</v>
      </c>
      <c r="J91" s="11" t="s">
        <v>204</v>
      </c>
      <c r="K91" s="20"/>
      <c r="M91" s="18"/>
    </row>
    <row r="92" spans="1:13">
      <c r="A92" s="11" t="s">
        <v>186</v>
      </c>
      <c r="B92" s="11" t="s">
        <v>291</v>
      </c>
      <c r="C92" s="11" t="s">
        <v>340</v>
      </c>
      <c r="D92" s="10">
        <v>5.2784399999999998</v>
      </c>
      <c r="E92" s="10">
        <v>1.8E-3</v>
      </c>
      <c r="F92" s="17">
        <v>0.57199999999999995</v>
      </c>
      <c r="G92" s="15">
        <v>79.2</v>
      </c>
      <c r="H92" s="18">
        <v>98.761340000000004</v>
      </c>
      <c r="I92" s="18">
        <v>1.0533198317033436</v>
      </c>
      <c r="J92" s="11" t="s">
        <v>204</v>
      </c>
      <c r="K92" s="20"/>
      <c r="M92" s="18"/>
    </row>
    <row r="93" spans="1:13">
      <c r="A93" s="11" t="s">
        <v>187</v>
      </c>
      <c r="B93" s="11" t="s">
        <v>291</v>
      </c>
      <c r="C93" s="11" t="s">
        <v>340</v>
      </c>
      <c r="D93" s="10">
        <v>0.24174000000000001</v>
      </c>
      <c r="E93" s="10">
        <v>4.0600000000000002E-3</v>
      </c>
      <c r="F93" s="17">
        <v>0.77700000000000002</v>
      </c>
      <c r="G93" s="15">
        <v>52.2</v>
      </c>
      <c r="H93" s="18">
        <v>99.120900000000006</v>
      </c>
      <c r="I93" s="18">
        <v>1.15196237928198</v>
      </c>
      <c r="J93" s="11" t="s">
        <v>205</v>
      </c>
      <c r="K93" s="20"/>
      <c r="M93" s="18"/>
    </row>
    <row r="94" spans="1:13">
      <c r="A94" s="11" t="s">
        <v>188</v>
      </c>
      <c r="B94" s="11" t="s">
        <v>291</v>
      </c>
      <c r="C94" s="11" t="s">
        <v>340</v>
      </c>
      <c r="D94" s="10">
        <v>9.1209999999999999E-2</v>
      </c>
      <c r="E94" s="10">
        <v>3.9100000000000003E-3</v>
      </c>
      <c r="F94" s="17">
        <v>0.314</v>
      </c>
      <c r="G94" s="15">
        <v>81.400000000000006</v>
      </c>
      <c r="H94" s="18">
        <v>99.76191</v>
      </c>
      <c r="I94" s="18">
        <v>1.0698395004788381</v>
      </c>
      <c r="J94" s="11" t="s">
        <v>205</v>
      </c>
      <c r="K94" s="20"/>
      <c r="M94" s="18"/>
    </row>
    <row r="95" spans="1:13">
      <c r="A95" s="11" t="s">
        <v>189</v>
      </c>
      <c r="B95" s="11" t="s">
        <v>291</v>
      </c>
      <c r="C95" s="11" t="s">
        <v>340</v>
      </c>
      <c r="D95" s="10">
        <v>27.764530000000001</v>
      </c>
      <c r="E95" s="10">
        <v>5.2339999999999998E-2</v>
      </c>
      <c r="F95" s="17">
        <v>0.27</v>
      </c>
      <c r="G95" s="15">
        <v>55.3</v>
      </c>
      <c r="H95" s="18">
        <v>100.72367</v>
      </c>
      <c r="I95" s="18">
        <v>1.1572420688546066</v>
      </c>
      <c r="J95" s="11" t="s">
        <v>204</v>
      </c>
      <c r="K95" s="20"/>
      <c r="M95" s="18"/>
    </row>
    <row r="96" spans="1:13">
      <c r="A96" s="11" t="s">
        <v>190</v>
      </c>
      <c r="B96" s="11" t="s">
        <v>291</v>
      </c>
      <c r="C96" s="11" t="s">
        <v>340</v>
      </c>
      <c r="D96" s="10">
        <v>3.8719999999999997E-2</v>
      </c>
      <c r="E96" s="10">
        <v>2.5400000000000002E-3</v>
      </c>
      <c r="F96" s="17">
        <v>1.266</v>
      </c>
      <c r="G96" s="15">
        <v>95.7</v>
      </c>
      <c r="H96" s="18">
        <v>100.91713</v>
      </c>
      <c r="I96" s="18">
        <v>1.0332214523729606</v>
      </c>
      <c r="J96" s="11" t="s">
        <v>205</v>
      </c>
      <c r="K96" s="20"/>
      <c r="M96" s="18"/>
    </row>
    <row r="97" spans="1:13">
      <c r="A97" s="11" t="s">
        <v>191</v>
      </c>
      <c r="B97" s="11" t="s">
        <v>291</v>
      </c>
      <c r="C97" s="11" t="s">
        <v>340</v>
      </c>
      <c r="D97" s="10">
        <v>10.18488</v>
      </c>
      <c r="E97" s="10">
        <v>1.6379999999999999E-2</v>
      </c>
      <c r="F97" s="17">
        <v>0.46500000000000002</v>
      </c>
      <c r="G97" s="15">
        <v>40.799999999999997</v>
      </c>
      <c r="H97" s="18">
        <v>101.46675</v>
      </c>
      <c r="I97" s="18">
        <v>1.312201958219942</v>
      </c>
      <c r="J97" s="11" t="s">
        <v>204</v>
      </c>
      <c r="K97" s="20"/>
      <c r="M97" s="18"/>
    </row>
    <row r="98" spans="1:13">
      <c r="A98" s="11" t="s">
        <v>192</v>
      </c>
      <c r="B98" s="11" t="s">
        <v>291</v>
      </c>
      <c r="C98" s="11" t="s">
        <v>340</v>
      </c>
      <c r="D98" s="10">
        <v>0.74792999999999998</v>
      </c>
      <c r="E98" s="10">
        <v>-1.92E-3</v>
      </c>
      <c r="F98" s="17">
        <v>0.20200000000000001</v>
      </c>
      <c r="G98" s="15">
        <v>34.200000000000003</v>
      </c>
      <c r="H98" s="18">
        <v>107.71798</v>
      </c>
      <c r="I98" s="18">
        <v>1.5505156832576832</v>
      </c>
      <c r="J98" s="11" t="s">
        <v>204</v>
      </c>
      <c r="K98" s="20"/>
      <c r="M98" s="18"/>
    </row>
    <row r="99" spans="1:13">
      <c r="A99" s="11" t="s">
        <v>193</v>
      </c>
      <c r="B99" s="11" t="s">
        <v>291</v>
      </c>
      <c r="C99" s="11" t="s">
        <v>340</v>
      </c>
      <c r="D99" s="10">
        <v>1.6913</v>
      </c>
      <c r="E99" s="10">
        <v>2.5799999999999998E-3</v>
      </c>
      <c r="F99" s="17">
        <v>2.0640000000000001</v>
      </c>
      <c r="G99" s="15">
        <v>67.8</v>
      </c>
      <c r="H99" s="18">
        <v>107.87689</v>
      </c>
      <c r="I99" s="18">
        <v>1.1405446999163207</v>
      </c>
      <c r="J99" s="11" t="s">
        <v>204</v>
      </c>
      <c r="K99" s="20"/>
      <c r="M99" s="18"/>
    </row>
    <row r="100" spans="1:13">
      <c r="A100" s="11" t="s">
        <v>194</v>
      </c>
      <c r="B100" s="11" t="s">
        <v>291</v>
      </c>
      <c r="C100" s="11" t="s">
        <v>340</v>
      </c>
      <c r="D100" s="10">
        <v>6.0800000000000003E-3</v>
      </c>
      <c r="E100" s="10">
        <v>1.1999999999999999E-3</v>
      </c>
      <c r="F100" s="17">
        <v>0.88100000000000001</v>
      </c>
      <c r="G100" s="15">
        <v>98</v>
      </c>
      <c r="H100" s="18">
        <v>108.94298000000001</v>
      </c>
      <c r="I100" s="18">
        <v>1.1147347478337795</v>
      </c>
      <c r="J100" s="11" t="s">
        <v>205</v>
      </c>
      <c r="K100" s="20"/>
      <c r="M100" s="18"/>
    </row>
    <row r="101" spans="1:13">
      <c r="A101" s="11" t="s">
        <v>195</v>
      </c>
      <c r="B101" s="11" t="s">
        <v>291</v>
      </c>
      <c r="C101" s="11" t="s">
        <v>340</v>
      </c>
      <c r="D101" s="10">
        <v>9.9479999999999999E-2</v>
      </c>
      <c r="E101" s="10">
        <v>3.7000000000000002E-3</v>
      </c>
      <c r="F101" s="17">
        <v>1.667</v>
      </c>
      <c r="G101" s="15">
        <v>85.8</v>
      </c>
      <c r="H101" s="18">
        <v>110.07186</v>
      </c>
      <c r="I101" s="18">
        <v>1.1445256400736332</v>
      </c>
      <c r="J101" s="11" t="s">
        <v>205</v>
      </c>
      <c r="K101" s="20"/>
      <c r="M101" s="18"/>
    </row>
    <row r="102" spans="1:13">
      <c r="A102" s="11" t="s">
        <v>196</v>
      </c>
      <c r="B102" s="11" t="s">
        <v>291</v>
      </c>
      <c r="C102" s="11" t="s">
        <v>340</v>
      </c>
      <c r="D102" s="10">
        <v>0.38866000000000001</v>
      </c>
      <c r="E102" s="10">
        <v>4.4299999999999999E-3</v>
      </c>
      <c r="F102" s="17">
        <v>0.193</v>
      </c>
      <c r="G102" s="15">
        <v>68.2</v>
      </c>
      <c r="H102" s="18">
        <v>110.09954</v>
      </c>
      <c r="I102" s="18">
        <v>1.2301429132101525</v>
      </c>
      <c r="J102" s="11" t="s">
        <v>205</v>
      </c>
      <c r="K102" s="20"/>
      <c r="M102" s="18"/>
    </row>
    <row r="103" spans="1:13">
      <c r="A103" s="11" t="s">
        <v>197</v>
      </c>
      <c r="B103" s="11" t="s">
        <v>291</v>
      </c>
      <c r="C103" s="11" t="s">
        <v>340</v>
      </c>
      <c r="D103" s="10">
        <v>1.677E-2</v>
      </c>
      <c r="E103" s="10">
        <v>2.33E-3</v>
      </c>
      <c r="F103" s="17">
        <v>0.76700000000000002</v>
      </c>
      <c r="G103" s="15">
        <v>94.4</v>
      </c>
      <c r="H103" s="18">
        <v>110.15125999999999</v>
      </c>
      <c r="I103" s="18">
        <v>1.1342614143391989</v>
      </c>
      <c r="J103" s="11" t="s">
        <v>205</v>
      </c>
      <c r="K103" s="20"/>
      <c r="M103" s="18"/>
    </row>
    <row r="104" spans="1:13">
      <c r="A104" s="11" t="s">
        <v>198</v>
      </c>
      <c r="B104" s="11" t="s">
        <v>291</v>
      </c>
      <c r="C104" s="11" t="s">
        <v>340</v>
      </c>
      <c r="D104" s="10">
        <v>0.19878000000000001</v>
      </c>
      <c r="E104" s="10">
        <v>3.7499999999999999E-3</v>
      </c>
      <c r="F104" s="17">
        <v>1.173</v>
      </c>
      <c r="G104" s="15">
        <v>69.099999999999994</v>
      </c>
      <c r="H104" s="18">
        <v>110.33716</v>
      </c>
      <c r="I104" s="18">
        <v>1.1800725137408123</v>
      </c>
      <c r="J104" s="11" t="s">
        <v>205</v>
      </c>
      <c r="K104" s="20"/>
      <c r="M104" s="18"/>
    </row>
    <row r="105" spans="1:13">
      <c r="A105" s="11" t="s">
        <v>199</v>
      </c>
      <c r="B105" s="11" t="s">
        <v>291</v>
      </c>
      <c r="C105" s="11" t="s">
        <v>340</v>
      </c>
      <c r="D105" s="10">
        <v>7.3400000000000002E-3</v>
      </c>
      <c r="E105" s="10">
        <v>4.8700000000000002E-3</v>
      </c>
      <c r="F105" s="17">
        <v>0.33900000000000002</v>
      </c>
      <c r="G105" s="15">
        <v>86.5</v>
      </c>
      <c r="H105" s="18">
        <v>110.99034</v>
      </c>
      <c r="I105" s="18">
        <v>1.1517686405834986</v>
      </c>
      <c r="J105" s="11" t="s">
        <v>205</v>
      </c>
      <c r="K105" s="20"/>
      <c r="M105" s="18"/>
    </row>
    <row r="106" spans="1:13">
      <c r="A106" s="11" t="s">
        <v>200</v>
      </c>
      <c r="B106" s="11" t="s">
        <v>291</v>
      </c>
      <c r="C106" s="11" t="s">
        <v>340</v>
      </c>
      <c r="D106" s="10">
        <v>14.95589</v>
      </c>
      <c r="E106" s="10">
        <v>1.257E-2</v>
      </c>
      <c r="F106" s="17">
        <v>0.127</v>
      </c>
      <c r="G106" s="15">
        <v>65.8</v>
      </c>
      <c r="H106" s="18">
        <v>114.28785999999999</v>
      </c>
      <c r="I106" s="18">
        <v>1.3115686279939605</v>
      </c>
      <c r="J106" s="11" t="s">
        <v>204</v>
      </c>
      <c r="K106" s="20"/>
      <c r="M106" s="18"/>
    </row>
    <row r="107" spans="1:13">
      <c r="A107" s="11" t="s">
        <v>201</v>
      </c>
      <c r="B107" s="11" t="s">
        <v>291</v>
      </c>
      <c r="C107" s="11" t="s">
        <v>340</v>
      </c>
      <c r="D107" s="10">
        <v>12.207549999999999</v>
      </c>
      <c r="E107" s="10">
        <v>2.1819999999999999E-2</v>
      </c>
      <c r="F107" s="17">
        <v>0.50800000000000001</v>
      </c>
      <c r="G107" s="15">
        <v>85.3</v>
      </c>
      <c r="H107" s="18">
        <v>116.70189000000001</v>
      </c>
      <c r="I107" s="18">
        <v>1.2243167639778565</v>
      </c>
      <c r="J107" s="11" t="s">
        <v>204</v>
      </c>
      <c r="K107" s="20"/>
      <c r="M107" s="18"/>
    </row>
    <row r="108" spans="1:13">
      <c r="A108" s="11" t="s">
        <v>202</v>
      </c>
      <c r="B108" s="11" t="s">
        <v>291</v>
      </c>
      <c r="C108" s="11" t="s">
        <v>340</v>
      </c>
      <c r="D108" s="10">
        <v>12.73592</v>
      </c>
      <c r="E108" s="10">
        <v>3.6220000000000002E-2</v>
      </c>
      <c r="F108" s="17">
        <v>0.36399999999999999</v>
      </c>
      <c r="G108" s="15">
        <v>61.9</v>
      </c>
      <c r="H108" s="18">
        <v>124.97846</v>
      </c>
      <c r="I108" s="18">
        <v>1.3673122197936942</v>
      </c>
      <c r="J108" s="11" t="s">
        <v>204</v>
      </c>
      <c r="K108" s="20"/>
      <c r="M108" s="18"/>
    </row>
    <row r="109" spans="1:13">
      <c r="A109" s="11" t="s">
        <v>203</v>
      </c>
      <c r="B109" s="11" t="s">
        <v>291</v>
      </c>
      <c r="C109" s="11" t="s">
        <v>340</v>
      </c>
      <c r="D109" s="10">
        <v>70.128519999999995</v>
      </c>
      <c r="E109" s="10">
        <v>0.11634</v>
      </c>
      <c r="F109" s="17">
        <v>5.2999999999999999E-2</v>
      </c>
      <c r="G109" s="15">
        <v>8.6999999999999993</v>
      </c>
      <c r="H109" s="18">
        <v>125.41428000000001</v>
      </c>
      <c r="I109" s="18">
        <v>6.2362782843368878</v>
      </c>
      <c r="J109" s="11" t="s">
        <v>204</v>
      </c>
      <c r="K109" s="20"/>
      <c r="M109" s="18"/>
    </row>
    <row r="110" spans="1:13">
      <c r="A110" s="11"/>
      <c r="B110" s="11"/>
      <c r="C110" s="11"/>
      <c r="D110" s="10"/>
      <c r="E110" s="10"/>
      <c r="F110" s="17"/>
      <c r="G110" s="15"/>
      <c r="H110" s="18"/>
      <c r="I110" s="18"/>
      <c r="K110" s="20"/>
      <c r="M110" s="18"/>
    </row>
    <row r="111" spans="1:13">
      <c r="A111" s="11" t="s">
        <v>280</v>
      </c>
      <c r="B111" s="11" t="s">
        <v>292</v>
      </c>
      <c r="C111" s="11" t="s">
        <v>339</v>
      </c>
      <c r="D111" s="10">
        <v>9.1749500000000008</v>
      </c>
      <c r="E111" s="10">
        <v>3.6800000000000001E-3</v>
      </c>
      <c r="F111" s="17">
        <v>1E-3</v>
      </c>
      <c r="G111" s="15">
        <v>29</v>
      </c>
      <c r="H111" s="18">
        <v>69.670910000000006</v>
      </c>
      <c r="I111" s="18">
        <v>27.289897082438607</v>
      </c>
      <c r="J111" s="11" t="s">
        <v>204</v>
      </c>
      <c r="K111" s="20" t="s">
        <v>279</v>
      </c>
      <c r="M111" s="18"/>
    </row>
    <row r="112" spans="1:13">
      <c r="A112" s="11" t="s">
        <v>281</v>
      </c>
      <c r="B112" s="11" t="s">
        <v>292</v>
      </c>
      <c r="C112" s="11" t="s">
        <v>339</v>
      </c>
      <c r="D112" s="10">
        <v>14.299379999999999</v>
      </c>
      <c r="E112" s="10">
        <v>3.542E-2</v>
      </c>
      <c r="F112" s="17">
        <v>6.0000000000000001E-3</v>
      </c>
      <c r="G112" s="15">
        <v>46.1</v>
      </c>
      <c r="H112" s="18">
        <v>96.443790000000007</v>
      </c>
      <c r="I112" s="18">
        <v>5.8552342747174206</v>
      </c>
      <c r="J112" s="11" t="s">
        <v>204</v>
      </c>
      <c r="K112" s="20" t="s">
        <v>279</v>
      </c>
      <c r="M112" s="18"/>
    </row>
    <row r="113" spans="1:13">
      <c r="A113" s="11" t="s">
        <v>282</v>
      </c>
      <c r="B113" s="11" t="s">
        <v>292</v>
      </c>
      <c r="C113" s="11" t="s">
        <v>339</v>
      </c>
      <c r="D113" s="10">
        <v>15.23743</v>
      </c>
      <c r="E113" s="10">
        <v>-9.8409999999999997E-2</v>
      </c>
      <c r="F113" s="17">
        <v>1E-3</v>
      </c>
      <c r="G113" s="15">
        <v>21.9</v>
      </c>
      <c r="H113" s="18">
        <v>114.4765</v>
      </c>
      <c r="I113" s="18">
        <v>41.352370112781927</v>
      </c>
      <c r="J113" s="11" t="s">
        <v>204</v>
      </c>
      <c r="K113" s="20" t="s">
        <v>279</v>
      </c>
      <c r="M113" s="18"/>
    </row>
    <row r="114" spans="1:13">
      <c r="A114" s="11" t="s">
        <v>283</v>
      </c>
      <c r="B114" s="11" t="s">
        <v>292</v>
      </c>
      <c r="C114" s="11" t="s">
        <v>339</v>
      </c>
      <c r="D114" s="10">
        <v>11.18788</v>
      </c>
      <c r="E114" s="10">
        <v>-1.231E-2</v>
      </c>
      <c r="F114" s="17">
        <v>1E-3</v>
      </c>
      <c r="G114" s="15">
        <v>82.2</v>
      </c>
      <c r="H114" s="18">
        <v>130.12683999999999</v>
      </c>
      <c r="I114" s="18">
        <v>21.205777639979495</v>
      </c>
      <c r="J114" s="11" t="s">
        <v>204</v>
      </c>
      <c r="K114" s="20" t="s">
        <v>279</v>
      </c>
      <c r="M114" s="18"/>
    </row>
    <row r="115" spans="1:13">
      <c r="A115" s="11" t="s">
        <v>284</v>
      </c>
      <c r="B115" s="11" t="s">
        <v>292</v>
      </c>
      <c r="C115" s="11" t="s">
        <v>339</v>
      </c>
      <c r="D115" s="10">
        <v>9.6399699999999999</v>
      </c>
      <c r="E115" s="10">
        <v>-0.10493</v>
      </c>
      <c r="F115" s="17">
        <v>2E-3</v>
      </c>
      <c r="G115" s="15">
        <v>71.7</v>
      </c>
      <c r="H115" s="18">
        <v>150.92393000000001</v>
      </c>
      <c r="I115" s="18">
        <v>17.249553287510317</v>
      </c>
      <c r="J115" s="11" t="s">
        <v>204</v>
      </c>
      <c r="K115" s="20" t="s">
        <v>279</v>
      </c>
      <c r="M115" s="18"/>
    </row>
    <row r="116" spans="1:13">
      <c r="A116" s="11" t="s">
        <v>285</v>
      </c>
      <c r="B116" s="11" t="s">
        <v>292</v>
      </c>
      <c r="C116" s="11" t="s">
        <v>339</v>
      </c>
      <c r="D116" s="10">
        <v>10.31155</v>
      </c>
      <c r="E116" s="10">
        <v>3.5310000000000001E-2</v>
      </c>
      <c r="F116" s="17">
        <v>1E-3</v>
      </c>
      <c r="G116" s="15">
        <v>74.2</v>
      </c>
      <c r="H116" s="18">
        <v>165.80994999999999</v>
      </c>
      <c r="I116" s="18">
        <v>25.446251723686167</v>
      </c>
      <c r="J116" s="11" t="s">
        <v>204</v>
      </c>
      <c r="K116" s="20" t="s">
        <v>279</v>
      </c>
      <c r="M116" s="18"/>
    </row>
    <row r="117" spans="1:13">
      <c r="A117" s="11" t="s">
        <v>286</v>
      </c>
      <c r="B117" s="11" t="s">
        <v>292</v>
      </c>
      <c r="C117" s="11" t="s">
        <v>339</v>
      </c>
      <c r="D117" s="10">
        <v>22.82206</v>
      </c>
      <c r="E117" s="10">
        <v>0.12341000000000001</v>
      </c>
      <c r="F117" s="17">
        <v>1E-3</v>
      </c>
      <c r="G117" s="15">
        <v>50.1</v>
      </c>
      <c r="H117" s="18">
        <v>196.04658000000001</v>
      </c>
      <c r="I117" s="18">
        <v>45.968594907357982</v>
      </c>
      <c r="J117" s="11" t="s">
        <v>204</v>
      </c>
      <c r="K117" s="20" t="s">
        <v>279</v>
      </c>
      <c r="M117" s="18"/>
    </row>
    <row r="118" spans="1:13">
      <c r="A118" s="11" t="s">
        <v>287</v>
      </c>
      <c r="B118" s="11" t="s">
        <v>292</v>
      </c>
      <c r="C118" s="11" t="s">
        <v>339</v>
      </c>
      <c r="D118" s="10">
        <v>15.356870000000001</v>
      </c>
      <c r="E118" s="10">
        <v>-3.5000000000000003E-2</v>
      </c>
      <c r="F118" s="17">
        <v>1E-3</v>
      </c>
      <c r="G118" s="15">
        <v>37.5</v>
      </c>
      <c r="H118" s="18">
        <v>200.85470000000001</v>
      </c>
      <c r="I118" s="18">
        <v>22.958501234918103</v>
      </c>
      <c r="J118" s="11" t="s">
        <v>204</v>
      </c>
      <c r="K118" s="20" t="s">
        <v>279</v>
      </c>
      <c r="M118" s="18"/>
    </row>
    <row r="119" spans="1:13">
      <c r="A119" s="22" t="s">
        <v>288</v>
      </c>
      <c r="B119" s="11" t="s">
        <v>292</v>
      </c>
      <c r="C119" s="11" t="s">
        <v>339</v>
      </c>
      <c r="D119" s="4">
        <v>7.7857000000000003</v>
      </c>
      <c r="E119" s="4">
        <v>7.4340000000000003E-2</v>
      </c>
      <c r="F119" s="24">
        <v>1E-3</v>
      </c>
      <c r="G119" s="2">
        <v>17.600000000000001</v>
      </c>
      <c r="H119" s="3">
        <v>271.53647999999998</v>
      </c>
      <c r="I119" s="3">
        <v>47.032647747622249</v>
      </c>
      <c r="J119" s="22" t="s">
        <v>204</v>
      </c>
      <c r="K119" s="26" t="s">
        <v>279</v>
      </c>
      <c r="M119" s="18"/>
    </row>
    <row r="120" spans="1:13">
      <c r="A120" s="22"/>
      <c r="B120" s="22"/>
      <c r="C120" s="22"/>
      <c r="D120" s="4"/>
      <c r="E120" s="4"/>
      <c r="F120" s="24"/>
      <c r="G120" s="2"/>
      <c r="H120" s="3"/>
      <c r="I120" s="3"/>
      <c r="J120" s="22"/>
      <c r="K120" s="26"/>
      <c r="M120" s="18"/>
    </row>
    <row r="121" spans="1:13">
      <c r="A121" s="11" t="s">
        <v>91</v>
      </c>
      <c r="B121" s="11" t="s">
        <v>92</v>
      </c>
      <c r="C121" s="11" t="s">
        <v>340</v>
      </c>
      <c r="D121" s="10">
        <v>6.3136400000000004</v>
      </c>
      <c r="E121" s="10">
        <v>3.0079999999999999E-2</v>
      </c>
      <c r="F121" s="17">
        <v>8.9999999999999993E-3</v>
      </c>
      <c r="G121" s="15">
        <v>7.2</v>
      </c>
      <c r="H121" s="18">
        <v>16.984940000000002</v>
      </c>
      <c r="I121" s="18">
        <v>7.6370399999999998</v>
      </c>
      <c r="J121" s="11" t="s">
        <v>204</v>
      </c>
      <c r="K121" s="23"/>
      <c r="M121" s="18"/>
    </row>
    <row r="122" spans="1:13">
      <c r="A122" s="11" t="s">
        <v>93</v>
      </c>
      <c r="B122" s="11" t="s">
        <v>94</v>
      </c>
      <c r="C122" s="11" t="s">
        <v>340</v>
      </c>
      <c r="D122" s="10">
        <v>0.31035000000000001</v>
      </c>
      <c r="E122" s="10">
        <v>1.2800000000000001E-3</v>
      </c>
      <c r="F122" s="17">
        <v>0.06</v>
      </c>
      <c r="G122" s="15">
        <v>92.4</v>
      </c>
      <c r="H122" s="18">
        <v>114.60724</v>
      </c>
      <c r="I122" s="18">
        <v>1.0162500000000001</v>
      </c>
      <c r="J122" s="11" t="s">
        <v>205</v>
      </c>
      <c r="K122" s="23"/>
      <c r="M122" s="18"/>
    </row>
    <row r="123" spans="1:13">
      <c r="A123" s="11" t="s">
        <v>95</v>
      </c>
      <c r="B123" s="11" t="s">
        <v>96</v>
      </c>
      <c r="C123" s="11" t="s">
        <v>340</v>
      </c>
      <c r="D123" s="10">
        <v>-0.13686000000000001</v>
      </c>
      <c r="E123" s="10">
        <v>1.192E-2</v>
      </c>
      <c r="F123" s="17">
        <v>1.0999999999999999E-2</v>
      </c>
      <c r="G123" s="15">
        <v>97.1</v>
      </c>
      <c r="H123" s="18">
        <v>116.79271</v>
      </c>
      <c r="I123" s="18">
        <v>3.9104999999999999</v>
      </c>
      <c r="J123" s="11" t="s">
        <v>205</v>
      </c>
      <c r="K123" s="23"/>
      <c r="M123" s="18"/>
    </row>
    <row r="124" spans="1:13">
      <c r="A124" s="11" t="s">
        <v>97</v>
      </c>
      <c r="B124" s="11" t="s">
        <v>96</v>
      </c>
      <c r="C124" s="11" t="s">
        <v>340</v>
      </c>
      <c r="D124" s="10">
        <v>0.21163000000000001</v>
      </c>
      <c r="E124" s="10">
        <v>-1.2789999999999999E-2</v>
      </c>
      <c r="F124" s="17">
        <v>1.6E-2</v>
      </c>
      <c r="G124" s="15">
        <v>53.6</v>
      </c>
      <c r="H124" s="18">
        <v>119.55422</v>
      </c>
      <c r="I124" s="18">
        <v>3.6456300000000001</v>
      </c>
      <c r="J124" s="11" t="s">
        <v>205</v>
      </c>
      <c r="K124" s="23"/>
      <c r="M124" s="18"/>
    </row>
    <row r="125" spans="1:13">
      <c r="A125" s="11" t="s">
        <v>98</v>
      </c>
      <c r="B125" s="11" t="s">
        <v>99</v>
      </c>
      <c r="C125" s="11" t="s">
        <v>340</v>
      </c>
      <c r="D125" s="10">
        <v>-4.9000000000000002E-2</v>
      </c>
      <c r="E125" s="10">
        <v>-5.8999999999999999E-3</v>
      </c>
      <c r="F125" s="17">
        <v>3.3000000000000002E-2</v>
      </c>
      <c r="G125" s="15">
        <v>100.3</v>
      </c>
      <c r="H125" s="18">
        <v>121.98824</v>
      </c>
      <c r="I125" s="18">
        <v>1.3668199999999999</v>
      </c>
      <c r="J125" s="11" t="s">
        <v>205</v>
      </c>
      <c r="K125" s="23"/>
      <c r="M125" s="18"/>
    </row>
    <row r="126" spans="1:13">
      <c r="A126" s="11" t="s">
        <v>100</v>
      </c>
      <c r="B126" s="11" t="s">
        <v>99</v>
      </c>
      <c r="C126" s="11" t="s">
        <v>340</v>
      </c>
      <c r="D126" s="10">
        <v>-5.1999999999999998E-3</v>
      </c>
      <c r="E126" s="10">
        <v>2.14E-3</v>
      </c>
      <c r="F126" s="17">
        <v>1.0999999999999999E-2</v>
      </c>
      <c r="G126" s="15">
        <v>91.1</v>
      </c>
      <c r="H126" s="18">
        <v>122.21637</v>
      </c>
      <c r="I126" s="18">
        <v>3.97262</v>
      </c>
      <c r="J126" s="11" t="s">
        <v>205</v>
      </c>
      <c r="K126" s="23"/>
      <c r="M126" s="18"/>
    </row>
    <row r="127" spans="1:13">
      <c r="A127" s="11" t="s">
        <v>101</v>
      </c>
      <c r="B127" s="11" t="s">
        <v>96</v>
      </c>
      <c r="C127" s="11" t="s">
        <v>340</v>
      </c>
      <c r="D127" s="10">
        <v>-2.9399999999999999E-3</v>
      </c>
      <c r="E127" s="10">
        <v>2.1680000000000001E-2</v>
      </c>
      <c r="F127" s="17">
        <v>1.6E-2</v>
      </c>
      <c r="G127" s="15">
        <v>45.8</v>
      </c>
      <c r="H127" s="18">
        <v>128.24940000000001</v>
      </c>
      <c r="I127" s="18">
        <v>3.8630599999999999</v>
      </c>
      <c r="J127" s="11" t="s">
        <v>205</v>
      </c>
      <c r="K127" s="23"/>
      <c r="M127" s="18"/>
    </row>
    <row r="128" spans="1:13">
      <c r="A128" s="11" t="s">
        <v>102</v>
      </c>
      <c r="B128" s="11" t="s">
        <v>99</v>
      </c>
      <c r="C128" s="11" t="s">
        <v>340</v>
      </c>
      <c r="D128" s="10">
        <v>-1.5720000000000001E-2</v>
      </c>
      <c r="E128" s="10">
        <v>1.23E-3</v>
      </c>
      <c r="F128" s="17">
        <v>3.9E-2</v>
      </c>
      <c r="G128" s="15">
        <v>95.3</v>
      </c>
      <c r="H128" s="18">
        <v>128.45581999999999</v>
      </c>
      <c r="I128" s="18">
        <v>1.3686799999999999</v>
      </c>
      <c r="J128" s="11" t="s">
        <v>205</v>
      </c>
      <c r="K128" s="23"/>
      <c r="M128" s="18"/>
    </row>
    <row r="129" spans="1:13">
      <c r="A129" s="11" t="s">
        <v>103</v>
      </c>
      <c r="B129" s="11" t="s">
        <v>104</v>
      </c>
      <c r="C129" s="11" t="s">
        <v>340</v>
      </c>
      <c r="D129" s="10">
        <v>-5.7299999999999999E-3</v>
      </c>
      <c r="E129" s="10">
        <v>1.75E-3</v>
      </c>
      <c r="F129" s="17">
        <v>3.7999999999999999E-2</v>
      </c>
      <c r="G129" s="15">
        <v>99.4</v>
      </c>
      <c r="H129" s="18">
        <v>129.37217000000001</v>
      </c>
      <c r="I129" s="18">
        <v>1.1935</v>
      </c>
      <c r="J129" s="11" t="s">
        <v>205</v>
      </c>
      <c r="K129" s="23"/>
      <c r="M129" s="18"/>
    </row>
    <row r="130" spans="1:13">
      <c r="A130" s="11" t="s">
        <v>105</v>
      </c>
      <c r="B130" s="11" t="s">
        <v>94</v>
      </c>
      <c r="C130" s="11" t="s">
        <v>340</v>
      </c>
      <c r="D130" s="10">
        <v>1.7930000000000001E-2</v>
      </c>
      <c r="E130" s="10">
        <v>3.5699999999999998E-3</v>
      </c>
      <c r="F130" s="17">
        <v>2.3E-2</v>
      </c>
      <c r="G130" s="15">
        <v>94.1</v>
      </c>
      <c r="H130" s="18">
        <v>147.92085</v>
      </c>
      <c r="I130" s="18">
        <v>2.0682800000000001</v>
      </c>
      <c r="J130" s="11" t="s">
        <v>205</v>
      </c>
      <c r="K130" s="23"/>
      <c r="M130" s="18"/>
    </row>
    <row r="131" spans="1:13">
      <c r="A131" s="11" t="s">
        <v>106</v>
      </c>
      <c r="B131" s="11" t="s">
        <v>92</v>
      </c>
      <c r="C131" s="11" t="s">
        <v>340</v>
      </c>
      <c r="D131" s="10">
        <v>-4.795E-2</v>
      </c>
      <c r="E131" s="10">
        <v>-7.0690000000000003E-2</v>
      </c>
      <c r="F131" s="17">
        <v>4.0000000000000001E-3</v>
      </c>
      <c r="G131" s="15">
        <v>14.8</v>
      </c>
      <c r="H131" s="18">
        <v>192.48285000000001</v>
      </c>
      <c r="I131" s="18">
        <v>17.952079999999999</v>
      </c>
      <c r="J131" s="11" t="s">
        <v>205</v>
      </c>
      <c r="K131" s="23"/>
      <c r="M131" s="18"/>
    </row>
    <row r="132" spans="1:13">
      <c r="A132" s="11" t="s">
        <v>107</v>
      </c>
      <c r="B132" s="11" t="s">
        <v>96</v>
      </c>
      <c r="C132" s="11" t="s">
        <v>340</v>
      </c>
      <c r="D132" s="10">
        <v>11.504379999999999</v>
      </c>
      <c r="E132" s="10">
        <v>-2.4150000000000001E-2</v>
      </c>
      <c r="F132" s="17">
        <v>3.0000000000000001E-3</v>
      </c>
      <c r="G132" s="15">
        <v>91.5</v>
      </c>
      <c r="H132" s="18">
        <v>251.69230999999999</v>
      </c>
      <c r="I132" s="18">
        <v>15.647040000000001</v>
      </c>
      <c r="J132" s="11" t="s">
        <v>204</v>
      </c>
      <c r="K132" s="23"/>
      <c r="M132" s="18"/>
    </row>
    <row r="133" spans="1:13">
      <c r="A133" s="11" t="s">
        <v>108</v>
      </c>
      <c r="B133" s="11" t="s">
        <v>92</v>
      </c>
      <c r="C133" s="11" t="s">
        <v>340</v>
      </c>
      <c r="D133" s="10">
        <v>9.8802400000000006</v>
      </c>
      <c r="E133" s="10">
        <v>4.1459999999999997E-2</v>
      </c>
      <c r="F133" s="17">
        <v>3.0000000000000001E-3</v>
      </c>
      <c r="G133" s="15">
        <v>50.1</v>
      </c>
      <c r="H133" s="18">
        <v>279.59773999999999</v>
      </c>
      <c r="I133" s="18">
        <v>21.87829</v>
      </c>
      <c r="J133" s="11" t="s">
        <v>204</v>
      </c>
      <c r="K133" s="23"/>
      <c r="M133" s="18"/>
    </row>
    <row r="134" spans="1:13">
      <c r="A134" s="11" t="s">
        <v>109</v>
      </c>
      <c r="B134" s="11" t="s">
        <v>99</v>
      </c>
      <c r="C134" s="11" t="s">
        <v>340</v>
      </c>
      <c r="D134" s="10">
        <v>15.553649999999999</v>
      </c>
      <c r="E134" s="10">
        <v>-3.0849999999999999E-2</v>
      </c>
      <c r="F134" s="17">
        <v>2E-3</v>
      </c>
      <c r="G134" s="15">
        <v>71.3</v>
      </c>
      <c r="H134" s="18">
        <v>290.01907</v>
      </c>
      <c r="I134" s="18">
        <v>17.00741</v>
      </c>
      <c r="J134" s="11" t="s">
        <v>204</v>
      </c>
      <c r="K134" s="23"/>
      <c r="M134" s="18"/>
    </row>
    <row r="135" spans="1:13">
      <c r="A135" s="11" t="s">
        <v>110</v>
      </c>
      <c r="B135" s="11" t="s">
        <v>104</v>
      </c>
      <c r="C135" s="11" t="s">
        <v>340</v>
      </c>
      <c r="D135" s="10">
        <v>9.3082399999999996</v>
      </c>
      <c r="E135" s="10">
        <v>-5.1999999999999995E-4</v>
      </c>
      <c r="F135" s="17">
        <v>4.0000000000000001E-3</v>
      </c>
      <c r="G135" s="15">
        <v>90.5</v>
      </c>
      <c r="H135" s="18">
        <v>300.48482000000001</v>
      </c>
      <c r="I135" s="18">
        <v>10.54768</v>
      </c>
      <c r="J135" s="11" t="s">
        <v>204</v>
      </c>
      <c r="K135" s="23"/>
      <c r="M135" s="18"/>
    </row>
    <row r="136" spans="1:13">
      <c r="A136" s="11" t="s">
        <v>111</v>
      </c>
      <c r="B136" s="11" t="s">
        <v>99</v>
      </c>
      <c r="C136" s="11" t="s">
        <v>340</v>
      </c>
      <c r="D136" s="10">
        <v>9.7843699999999991</v>
      </c>
      <c r="E136" s="10">
        <v>7.92E-3</v>
      </c>
      <c r="F136" s="17">
        <v>4.0000000000000001E-3</v>
      </c>
      <c r="G136" s="15">
        <v>109</v>
      </c>
      <c r="H136" s="18">
        <v>325.78309999999999</v>
      </c>
      <c r="I136" s="18">
        <v>10.02425</v>
      </c>
      <c r="J136" s="11" t="s">
        <v>204</v>
      </c>
      <c r="K136" s="23"/>
      <c r="M136" s="18"/>
    </row>
    <row r="137" spans="1:13">
      <c r="A137" s="11" t="s">
        <v>112</v>
      </c>
      <c r="B137" s="11" t="s">
        <v>99</v>
      </c>
      <c r="C137" s="11" t="s">
        <v>340</v>
      </c>
      <c r="D137" s="10">
        <v>11.65188</v>
      </c>
      <c r="E137" s="10">
        <v>7.5329999999999994E-2</v>
      </c>
      <c r="F137" s="17">
        <v>3.0000000000000001E-3</v>
      </c>
      <c r="G137" s="15">
        <v>99.5</v>
      </c>
      <c r="H137" s="18">
        <v>370.63821999999999</v>
      </c>
      <c r="I137" s="18">
        <v>15.21308</v>
      </c>
      <c r="J137" s="11" t="s">
        <v>204</v>
      </c>
      <c r="K137" s="23"/>
      <c r="M137" s="18"/>
    </row>
    <row r="138" spans="1:13">
      <c r="A138" s="11"/>
      <c r="B138" s="11"/>
      <c r="C138" s="11"/>
      <c r="D138" s="10"/>
      <c r="E138" s="10"/>
      <c r="F138" s="17"/>
      <c r="G138" s="15"/>
      <c r="H138" s="18"/>
      <c r="I138" s="18"/>
      <c r="K138" s="23"/>
      <c r="M138" s="18"/>
    </row>
    <row r="139" spans="1:13">
      <c r="A139" s="11" t="s">
        <v>113</v>
      </c>
      <c r="B139" s="11" t="s">
        <v>114</v>
      </c>
      <c r="C139" s="11" t="s">
        <v>340</v>
      </c>
      <c r="D139" s="10">
        <v>6.5476900000000002</v>
      </c>
      <c r="E139" s="10">
        <v>1.4619999999999999E-2</v>
      </c>
      <c r="F139" s="17">
        <v>5.0000000000000001E-3</v>
      </c>
      <c r="G139" s="15">
        <v>1</v>
      </c>
      <c r="H139" s="18">
        <v>4.8686800000000003</v>
      </c>
      <c r="I139" s="18">
        <v>12.10078</v>
      </c>
      <c r="J139" s="11" t="s">
        <v>204</v>
      </c>
      <c r="K139" s="23"/>
      <c r="M139" s="18"/>
    </row>
    <row r="140" spans="1:13">
      <c r="A140" s="11" t="s">
        <v>115</v>
      </c>
      <c r="B140" s="11" t="s">
        <v>116</v>
      </c>
      <c r="C140" s="11" t="s">
        <v>340</v>
      </c>
      <c r="D140" s="10">
        <v>5.8830499999999999</v>
      </c>
      <c r="E140" s="10">
        <v>7.45E-3</v>
      </c>
      <c r="F140" s="17">
        <v>3.0000000000000001E-3</v>
      </c>
      <c r="G140" s="15">
        <v>9</v>
      </c>
      <c r="H140" s="18">
        <v>21.423490000000001</v>
      </c>
      <c r="I140" s="18">
        <v>18.156330000000001</v>
      </c>
      <c r="J140" s="11" t="s">
        <v>204</v>
      </c>
      <c r="K140" s="23"/>
      <c r="M140" s="18"/>
    </row>
    <row r="141" spans="1:13">
      <c r="A141" s="11" t="s">
        <v>117</v>
      </c>
      <c r="B141" s="11" t="s">
        <v>116</v>
      </c>
      <c r="C141" s="11" t="s">
        <v>340</v>
      </c>
      <c r="D141" s="10">
        <v>4.5114400000000003</v>
      </c>
      <c r="E141" s="10">
        <v>4.9739999999999999E-2</v>
      </c>
      <c r="F141" s="17">
        <v>4.0000000000000001E-3</v>
      </c>
      <c r="G141" s="15">
        <v>3.7</v>
      </c>
      <c r="H141" s="18">
        <v>29.962389999999999</v>
      </c>
      <c r="I141" s="18">
        <v>15.270250000000001</v>
      </c>
      <c r="J141" s="11" t="s">
        <v>204</v>
      </c>
      <c r="K141" s="23"/>
      <c r="M141" s="18"/>
    </row>
    <row r="142" spans="1:13">
      <c r="A142" s="11" t="s">
        <v>118</v>
      </c>
      <c r="B142" s="11" t="s">
        <v>116</v>
      </c>
      <c r="C142" s="11" t="s">
        <v>340</v>
      </c>
      <c r="D142" s="10">
        <v>6.4129699999999996</v>
      </c>
      <c r="E142" s="10">
        <v>2.4899999999999999E-2</v>
      </c>
      <c r="F142" s="17">
        <v>3.9E-2</v>
      </c>
      <c r="G142" s="15">
        <v>7.3</v>
      </c>
      <c r="H142" s="18">
        <v>31.347110000000001</v>
      </c>
      <c r="I142" s="18">
        <v>3.1918099999999998</v>
      </c>
      <c r="J142" s="11" t="s">
        <v>204</v>
      </c>
      <c r="K142" s="23"/>
      <c r="M142" s="18"/>
    </row>
    <row r="143" spans="1:13">
      <c r="A143" s="11" t="s">
        <v>119</v>
      </c>
      <c r="B143" s="11" t="s">
        <v>116</v>
      </c>
      <c r="C143" s="11" t="s">
        <v>340</v>
      </c>
      <c r="D143" s="10">
        <v>5.2397999999999998</v>
      </c>
      <c r="E143" s="10">
        <v>3.7159999999999999E-2</v>
      </c>
      <c r="F143" s="17">
        <v>5.0000000000000001E-3</v>
      </c>
      <c r="G143" s="15">
        <v>11.8</v>
      </c>
      <c r="H143" s="18">
        <v>35.67812</v>
      </c>
      <c r="I143" s="18">
        <v>11.83283</v>
      </c>
      <c r="J143" s="11" t="s">
        <v>204</v>
      </c>
      <c r="K143" s="23"/>
      <c r="M143" s="18"/>
    </row>
    <row r="144" spans="1:13">
      <c r="A144" s="11" t="s">
        <v>120</v>
      </c>
      <c r="B144" s="11" t="s">
        <v>116</v>
      </c>
      <c r="C144" s="11" t="s">
        <v>340</v>
      </c>
      <c r="D144" s="10">
        <v>0.25401000000000001</v>
      </c>
      <c r="E144" s="10">
        <v>-7.5000000000000002E-4</v>
      </c>
      <c r="F144" s="17">
        <v>9.5000000000000001E-2</v>
      </c>
      <c r="G144" s="15">
        <v>85.5</v>
      </c>
      <c r="H144" s="18">
        <v>113.07453</v>
      </c>
      <c r="I144" s="18">
        <v>0.70035000000000003</v>
      </c>
      <c r="J144" s="11" t="s">
        <v>205</v>
      </c>
      <c r="K144" s="23"/>
      <c r="M144" s="18"/>
    </row>
    <row r="145" spans="1:13">
      <c r="A145" s="11" t="s">
        <v>121</v>
      </c>
      <c r="B145" s="11" t="s">
        <v>114</v>
      </c>
      <c r="C145" s="11" t="s">
        <v>340</v>
      </c>
      <c r="D145" s="10">
        <v>7.1760000000000004E-2</v>
      </c>
      <c r="E145" s="10">
        <v>7.26E-3</v>
      </c>
      <c r="F145" s="17">
        <v>4.1000000000000002E-2</v>
      </c>
      <c r="G145" s="15">
        <v>80.5</v>
      </c>
      <c r="H145" s="18">
        <v>114.22801</v>
      </c>
      <c r="I145" s="18">
        <v>1.45082</v>
      </c>
      <c r="J145" s="11" t="s">
        <v>205</v>
      </c>
      <c r="K145" s="23"/>
      <c r="M145" s="18"/>
    </row>
    <row r="146" spans="1:13">
      <c r="A146" s="11" t="s">
        <v>122</v>
      </c>
      <c r="B146" s="11" t="s">
        <v>116</v>
      </c>
      <c r="C146" s="11" t="s">
        <v>340</v>
      </c>
      <c r="D146" s="10">
        <v>4.2130000000000001E-2</v>
      </c>
      <c r="E146" s="10">
        <v>-2.0999999999999999E-3</v>
      </c>
      <c r="F146" s="17">
        <v>8.3000000000000004E-2</v>
      </c>
      <c r="G146" s="15">
        <v>62.4</v>
      </c>
      <c r="H146" s="18">
        <v>115.44309</v>
      </c>
      <c r="I146" s="18">
        <v>1.01512</v>
      </c>
      <c r="J146" s="11" t="s">
        <v>205</v>
      </c>
      <c r="K146" s="23"/>
      <c r="M146" s="18"/>
    </row>
    <row r="147" spans="1:13">
      <c r="A147" s="11" t="s">
        <v>123</v>
      </c>
      <c r="B147" s="11" t="s">
        <v>114</v>
      </c>
      <c r="C147" s="11" t="s">
        <v>340</v>
      </c>
      <c r="D147" s="10">
        <v>4.7999999999999996E-3</v>
      </c>
      <c r="E147" s="10">
        <v>-1.7000000000000001E-4</v>
      </c>
      <c r="F147" s="17">
        <v>0.21</v>
      </c>
      <c r="G147" s="15">
        <v>88.5</v>
      </c>
      <c r="H147" s="18">
        <v>115.59299</v>
      </c>
      <c r="I147" s="18">
        <v>0.44141999999999998</v>
      </c>
      <c r="J147" s="11" t="s">
        <v>205</v>
      </c>
      <c r="K147" s="23"/>
      <c r="M147" s="18"/>
    </row>
    <row r="148" spans="1:13">
      <c r="A148" s="11" t="s">
        <v>124</v>
      </c>
      <c r="B148" s="11" t="s">
        <v>116</v>
      </c>
      <c r="C148" s="11" t="s">
        <v>340</v>
      </c>
      <c r="D148" s="10">
        <v>3.2399999999999998E-2</v>
      </c>
      <c r="E148" s="10">
        <v>8.9999999999999998E-4</v>
      </c>
      <c r="F148" s="17">
        <v>5.8999999999999997E-2</v>
      </c>
      <c r="G148" s="15">
        <v>58.7</v>
      </c>
      <c r="H148" s="18">
        <v>117.96046</v>
      </c>
      <c r="I148" s="18">
        <v>1.36429</v>
      </c>
      <c r="J148" s="11" t="s">
        <v>205</v>
      </c>
      <c r="K148" s="23"/>
      <c r="M148" s="18"/>
    </row>
    <row r="149" spans="1:13">
      <c r="A149" s="11" t="s">
        <v>125</v>
      </c>
      <c r="B149" s="11" t="s">
        <v>116</v>
      </c>
      <c r="C149" s="11" t="s">
        <v>340</v>
      </c>
      <c r="D149" s="10">
        <v>9.3340000000000006E-2</v>
      </c>
      <c r="E149" s="10">
        <v>-1.57E-3</v>
      </c>
      <c r="F149" s="17">
        <v>1.0999999999999999E-2</v>
      </c>
      <c r="G149" s="15">
        <v>42.3</v>
      </c>
      <c r="H149" s="18">
        <v>122.76174</v>
      </c>
      <c r="I149" s="18">
        <v>5.21896</v>
      </c>
      <c r="J149" s="11" t="s">
        <v>205</v>
      </c>
      <c r="K149" s="23"/>
      <c r="M149" s="18"/>
    </row>
    <row r="150" spans="1:13">
      <c r="A150" s="11" t="s">
        <v>126</v>
      </c>
      <c r="B150" s="11" t="s">
        <v>114</v>
      </c>
      <c r="C150" s="11" t="s">
        <v>340</v>
      </c>
      <c r="D150" s="10">
        <v>-7.9100000000000004E-2</v>
      </c>
      <c r="E150" s="10">
        <v>1.2999999999999999E-3</v>
      </c>
      <c r="F150" s="17">
        <v>1.6E-2</v>
      </c>
      <c r="G150" s="15">
        <v>40.1</v>
      </c>
      <c r="H150" s="18">
        <v>132.49449999999999</v>
      </c>
      <c r="I150" s="18">
        <v>3.9272200000000002</v>
      </c>
      <c r="J150" s="11" t="s">
        <v>205</v>
      </c>
      <c r="K150" s="23"/>
      <c r="M150" s="18"/>
    </row>
    <row r="151" spans="1:13">
      <c r="A151" s="11" t="s">
        <v>127</v>
      </c>
      <c r="B151" s="11" t="s">
        <v>116</v>
      </c>
      <c r="C151" s="11" t="s">
        <v>340</v>
      </c>
      <c r="D151" s="10">
        <v>-6.5390000000000004E-2</v>
      </c>
      <c r="E151" s="10">
        <v>7.5799999999999999E-3</v>
      </c>
      <c r="F151" s="17">
        <v>1.4E-2</v>
      </c>
      <c r="G151" s="15">
        <v>51.3</v>
      </c>
      <c r="H151" s="18">
        <v>135.16784999999999</v>
      </c>
      <c r="I151" s="18">
        <v>4.1111300000000002</v>
      </c>
      <c r="J151" s="11" t="s">
        <v>205</v>
      </c>
      <c r="K151" s="23"/>
      <c r="M151" s="18"/>
    </row>
    <row r="152" spans="1:13">
      <c r="A152" s="11" t="s">
        <v>128</v>
      </c>
      <c r="B152" s="11" t="s">
        <v>114</v>
      </c>
      <c r="C152" s="11" t="s">
        <v>340</v>
      </c>
      <c r="D152" s="10">
        <v>1.02881</v>
      </c>
      <c r="E152" s="10">
        <v>4.6390000000000001E-2</v>
      </c>
      <c r="F152" s="17">
        <v>2E-3</v>
      </c>
      <c r="G152" s="15">
        <v>9.1999999999999993</v>
      </c>
      <c r="H152" s="18">
        <v>136.95439999999999</v>
      </c>
      <c r="I152" s="18">
        <v>31.09395</v>
      </c>
      <c r="J152" s="11" t="s">
        <v>204</v>
      </c>
      <c r="K152" s="23"/>
      <c r="M152" s="18"/>
    </row>
    <row r="153" spans="1:13">
      <c r="A153" s="11" t="s">
        <v>129</v>
      </c>
      <c r="B153" s="11" t="s">
        <v>114</v>
      </c>
      <c r="C153" s="11" t="s">
        <v>340</v>
      </c>
      <c r="D153" s="10">
        <v>0.27261000000000002</v>
      </c>
      <c r="E153" s="10">
        <v>6.0400000000000002E-3</v>
      </c>
      <c r="F153" s="17">
        <v>1.7999999999999999E-2</v>
      </c>
      <c r="G153" s="15">
        <v>61.3</v>
      </c>
      <c r="H153" s="18">
        <v>141.93607</v>
      </c>
      <c r="I153" s="18">
        <v>3.3883999999999999</v>
      </c>
      <c r="J153" s="11" t="s">
        <v>205</v>
      </c>
      <c r="K153" s="23"/>
      <c r="M153" s="18"/>
    </row>
    <row r="154" spans="1:13">
      <c r="A154" s="11" t="s">
        <v>130</v>
      </c>
      <c r="B154" s="11" t="s">
        <v>114</v>
      </c>
      <c r="C154" s="11" t="s">
        <v>340</v>
      </c>
      <c r="D154" s="10">
        <v>-6.2089999999999999E-2</v>
      </c>
      <c r="E154" s="10">
        <v>2.5100000000000001E-3</v>
      </c>
      <c r="F154" s="17">
        <v>1.4E-2</v>
      </c>
      <c r="G154" s="15">
        <v>61</v>
      </c>
      <c r="H154" s="18">
        <v>144.62067999999999</v>
      </c>
      <c r="I154" s="18">
        <v>4.0935199999999998</v>
      </c>
      <c r="J154" s="11" t="s">
        <v>205</v>
      </c>
      <c r="K154" s="23"/>
      <c r="M154" s="18"/>
    </row>
    <row r="155" spans="1:13">
      <c r="A155" s="11" t="s">
        <v>131</v>
      </c>
      <c r="B155" s="11" t="s">
        <v>116</v>
      </c>
      <c r="C155" s="11" t="s">
        <v>340</v>
      </c>
      <c r="D155" s="10">
        <v>6.5570000000000003E-2</v>
      </c>
      <c r="E155" s="10">
        <v>1.136E-2</v>
      </c>
      <c r="F155" s="17">
        <v>7.0000000000000001E-3</v>
      </c>
      <c r="G155" s="15">
        <v>67.599999999999994</v>
      </c>
      <c r="H155" s="18">
        <v>155.27051</v>
      </c>
      <c r="I155" s="18">
        <v>8.0545799999999996</v>
      </c>
      <c r="J155" s="11" t="s">
        <v>205</v>
      </c>
      <c r="K155" s="23"/>
      <c r="M155" s="18"/>
    </row>
    <row r="156" spans="1:13">
      <c r="A156" s="11" t="s">
        <v>132</v>
      </c>
      <c r="B156" s="11" t="s">
        <v>116</v>
      </c>
      <c r="C156" s="11" t="s">
        <v>340</v>
      </c>
      <c r="D156" s="10">
        <v>1.524E-2</v>
      </c>
      <c r="E156" s="10">
        <v>6.8529999999999994E-2</v>
      </c>
      <c r="F156" s="17">
        <v>5.0000000000000001E-3</v>
      </c>
      <c r="G156" s="15">
        <v>43.5</v>
      </c>
      <c r="H156" s="18">
        <v>158.65606</v>
      </c>
      <c r="I156" s="18">
        <v>10.272019999999999</v>
      </c>
      <c r="J156" s="11" t="s">
        <v>205</v>
      </c>
      <c r="K156" s="23"/>
      <c r="M156" s="18"/>
    </row>
    <row r="157" spans="1:13">
      <c r="A157" s="11" t="s">
        <v>133</v>
      </c>
      <c r="B157" s="11" t="s">
        <v>116</v>
      </c>
      <c r="C157" s="11" t="s">
        <v>340</v>
      </c>
      <c r="D157" s="10">
        <v>-8.09E-3</v>
      </c>
      <c r="E157" s="10">
        <v>7.8200000000000006E-3</v>
      </c>
      <c r="F157" s="17">
        <v>8.0000000000000002E-3</v>
      </c>
      <c r="G157" s="15">
        <v>59</v>
      </c>
      <c r="H157" s="18">
        <v>158.98757000000001</v>
      </c>
      <c r="I157" s="18">
        <v>7.6564699999999997</v>
      </c>
      <c r="J157" s="11" t="s">
        <v>205</v>
      </c>
      <c r="K157" s="23"/>
    </row>
    <row r="158" spans="1:13">
      <c r="A158" s="11" t="s">
        <v>134</v>
      </c>
      <c r="B158" s="11" t="s">
        <v>116</v>
      </c>
      <c r="C158" s="11" t="s">
        <v>340</v>
      </c>
      <c r="D158" s="10">
        <v>-0.15520999999999999</v>
      </c>
      <c r="E158" s="10">
        <v>2.775E-2</v>
      </c>
      <c r="F158" s="17">
        <v>0.01</v>
      </c>
      <c r="G158" s="15">
        <v>45.4</v>
      </c>
      <c r="H158" s="18">
        <v>160.68286000000001</v>
      </c>
      <c r="I158" s="18">
        <v>6.0438700000000001</v>
      </c>
      <c r="J158" s="11" t="s">
        <v>205</v>
      </c>
      <c r="K158" s="23"/>
    </row>
    <row r="159" spans="1:13">
      <c r="A159" s="11" t="s">
        <v>135</v>
      </c>
      <c r="B159" s="11" t="s">
        <v>116</v>
      </c>
      <c r="C159" s="11" t="s">
        <v>340</v>
      </c>
      <c r="D159" s="10">
        <v>-7.2410000000000002E-2</v>
      </c>
      <c r="E159" s="10">
        <v>9.0000000000000006E-5</v>
      </c>
      <c r="F159" s="17">
        <v>1.6E-2</v>
      </c>
      <c r="G159" s="15">
        <v>67.5</v>
      </c>
      <c r="H159" s="18">
        <v>169.42661000000001</v>
      </c>
      <c r="I159" s="18">
        <v>3.8126699999999998</v>
      </c>
      <c r="J159" s="11" t="s">
        <v>205</v>
      </c>
      <c r="K159" s="23"/>
    </row>
    <row r="160" spans="1:13">
      <c r="A160" s="11" t="s">
        <v>136</v>
      </c>
      <c r="B160" s="11" t="s">
        <v>116</v>
      </c>
      <c r="C160" s="11" t="s">
        <v>340</v>
      </c>
      <c r="D160" s="10">
        <v>1.3220000000000001E-2</v>
      </c>
      <c r="E160" s="10">
        <v>4.8199999999999996E-3</v>
      </c>
      <c r="F160" s="17">
        <v>2.5000000000000001E-2</v>
      </c>
      <c r="G160" s="15">
        <v>66.8</v>
      </c>
      <c r="H160" s="18">
        <v>177.14785000000001</v>
      </c>
      <c r="I160" s="18">
        <v>2.35189</v>
      </c>
      <c r="J160" s="11" t="s">
        <v>205</v>
      </c>
      <c r="K160" s="23"/>
    </row>
    <row r="161" spans="1:11">
      <c r="A161" s="11" t="s">
        <v>137</v>
      </c>
      <c r="B161" s="11" t="s">
        <v>114</v>
      </c>
      <c r="C161" s="11" t="s">
        <v>340</v>
      </c>
      <c r="D161" s="10">
        <v>8.1590500000000006</v>
      </c>
      <c r="E161" s="10">
        <v>-1.9560000000000001E-2</v>
      </c>
      <c r="F161" s="17">
        <v>4.0000000000000001E-3</v>
      </c>
      <c r="G161" s="15">
        <v>20.6</v>
      </c>
      <c r="H161" s="18">
        <v>181.84585000000001</v>
      </c>
      <c r="I161" s="18">
        <v>15.82615</v>
      </c>
      <c r="J161" s="11" t="s">
        <v>204</v>
      </c>
      <c r="K161" s="23"/>
    </row>
    <row r="162" spans="1:11">
      <c r="A162" s="11" t="s">
        <v>138</v>
      </c>
      <c r="B162" s="11" t="s">
        <v>116</v>
      </c>
      <c r="C162" s="11" t="s">
        <v>340</v>
      </c>
      <c r="D162" s="10">
        <v>0.17727000000000001</v>
      </c>
      <c r="E162" s="10">
        <v>3.2599999999999999E-3</v>
      </c>
      <c r="F162" s="17">
        <v>2.8000000000000001E-2</v>
      </c>
      <c r="G162" s="15">
        <v>65.2</v>
      </c>
      <c r="H162" s="18">
        <v>188.12458000000001</v>
      </c>
      <c r="I162" s="18">
        <v>2.2439</v>
      </c>
      <c r="J162" s="11" t="s">
        <v>205</v>
      </c>
      <c r="K162" s="23"/>
    </row>
    <row r="163" spans="1:11">
      <c r="A163" s="11" t="s">
        <v>139</v>
      </c>
      <c r="B163" s="11" t="s">
        <v>114</v>
      </c>
      <c r="C163" s="11" t="s">
        <v>340</v>
      </c>
      <c r="D163" s="10">
        <v>7.1190000000000003E-2</v>
      </c>
      <c r="E163" s="10">
        <v>-2.2300000000000002E-3</v>
      </c>
      <c r="F163" s="17">
        <v>1.4E-2</v>
      </c>
      <c r="G163" s="15">
        <v>76.5</v>
      </c>
      <c r="H163" s="18">
        <v>189.60381000000001</v>
      </c>
      <c r="I163" s="18">
        <v>4.08751</v>
      </c>
      <c r="J163" s="11" t="s">
        <v>205</v>
      </c>
      <c r="K163" s="23"/>
    </row>
    <row r="164" spans="1:11">
      <c r="A164" s="11" t="s">
        <v>140</v>
      </c>
      <c r="B164" s="11" t="s">
        <v>116</v>
      </c>
      <c r="C164" s="11" t="s">
        <v>340</v>
      </c>
      <c r="D164" s="10">
        <v>0.12013</v>
      </c>
      <c r="E164" s="10">
        <v>8.6899999999999998E-3</v>
      </c>
      <c r="F164" s="17">
        <v>4.5999999999999999E-2</v>
      </c>
      <c r="G164" s="15">
        <v>53.5</v>
      </c>
      <c r="H164" s="18">
        <v>206.00036</v>
      </c>
      <c r="I164" s="18">
        <v>2.0598700000000001</v>
      </c>
      <c r="J164" s="11" t="s">
        <v>205</v>
      </c>
      <c r="K164" s="23"/>
    </row>
    <row r="165" spans="1:11">
      <c r="A165" s="11" t="s">
        <v>141</v>
      </c>
      <c r="B165" s="11" t="s">
        <v>114</v>
      </c>
      <c r="C165" s="11" t="s">
        <v>340</v>
      </c>
      <c r="D165" s="10">
        <v>9.4219999999999998E-2</v>
      </c>
      <c r="E165" s="10">
        <v>-5.7999999999999996E-3</v>
      </c>
      <c r="F165" s="17">
        <v>0.02</v>
      </c>
      <c r="G165" s="15">
        <v>66.5</v>
      </c>
      <c r="H165" s="18">
        <v>209.87727000000001</v>
      </c>
      <c r="I165" s="18">
        <v>3.09857</v>
      </c>
      <c r="J165" s="11" t="s">
        <v>205</v>
      </c>
      <c r="K165" s="23"/>
    </row>
    <row r="166" spans="1:11">
      <c r="A166" s="11" t="s">
        <v>142</v>
      </c>
      <c r="B166" s="11" t="s">
        <v>114</v>
      </c>
      <c r="C166" s="11" t="s">
        <v>340</v>
      </c>
      <c r="D166" s="10">
        <v>-4.3659999999999997E-2</v>
      </c>
      <c r="E166" s="10">
        <v>1.89E-3</v>
      </c>
      <c r="F166" s="17">
        <v>1.9E-2</v>
      </c>
      <c r="G166" s="15">
        <v>81.8</v>
      </c>
      <c r="H166" s="18">
        <v>213.86770000000001</v>
      </c>
      <c r="I166" s="18">
        <v>3.0105</v>
      </c>
      <c r="J166" s="11" t="s">
        <v>205</v>
      </c>
      <c r="K166" s="23"/>
    </row>
    <row r="167" spans="1:11">
      <c r="A167" s="11" t="s">
        <v>143</v>
      </c>
      <c r="B167" s="11" t="s">
        <v>116</v>
      </c>
      <c r="C167" s="11" t="s">
        <v>340</v>
      </c>
      <c r="D167" s="10">
        <v>-1.0449999999999999E-2</v>
      </c>
      <c r="E167" s="10">
        <v>-1.5E-3</v>
      </c>
      <c r="F167" s="17">
        <v>8.9999999999999993E-3</v>
      </c>
      <c r="G167" s="15">
        <v>52</v>
      </c>
      <c r="H167" s="18">
        <v>223.35983999999999</v>
      </c>
      <c r="I167" s="18">
        <v>5.8826000000000001</v>
      </c>
      <c r="J167" s="11" t="s">
        <v>205</v>
      </c>
      <c r="K167" s="23"/>
    </row>
    <row r="168" spans="1:11">
      <c r="A168" s="11" t="s">
        <v>144</v>
      </c>
      <c r="B168" s="11" t="s">
        <v>116</v>
      </c>
      <c r="C168" s="11" t="s">
        <v>340</v>
      </c>
      <c r="D168" s="10">
        <v>0.12127</v>
      </c>
      <c r="E168" s="10">
        <v>9.8799999999999999E-3</v>
      </c>
      <c r="F168" s="17">
        <v>5.2999999999999999E-2</v>
      </c>
      <c r="G168" s="15">
        <v>45.8</v>
      </c>
      <c r="H168" s="18">
        <v>258.26085999999998</v>
      </c>
      <c r="I168" s="18">
        <v>2.5895299999999999</v>
      </c>
      <c r="J168" s="11" t="s">
        <v>205</v>
      </c>
      <c r="K168" s="23"/>
    </row>
    <row r="169" spans="1:11">
      <c r="A169" s="11" t="s">
        <v>145</v>
      </c>
      <c r="B169" s="11" t="s">
        <v>114</v>
      </c>
      <c r="C169" s="11" t="s">
        <v>340</v>
      </c>
      <c r="D169" s="10">
        <v>13.41183</v>
      </c>
      <c r="E169" s="10">
        <v>-2.9860000000000001E-2</v>
      </c>
      <c r="F169" s="17">
        <v>3.0000000000000001E-3</v>
      </c>
      <c r="G169" s="15">
        <v>26.2</v>
      </c>
      <c r="H169" s="18">
        <v>285.30702000000002</v>
      </c>
      <c r="I169" s="18">
        <v>22.98001</v>
      </c>
      <c r="J169" s="11" t="s">
        <v>204</v>
      </c>
      <c r="K169" s="23"/>
    </row>
    <row r="170" spans="1:11">
      <c r="A170" s="11" t="s">
        <v>146</v>
      </c>
      <c r="B170" s="11" t="s">
        <v>116</v>
      </c>
      <c r="C170" s="11" t="s">
        <v>340</v>
      </c>
      <c r="D170" s="10">
        <v>8.3435500000000005</v>
      </c>
      <c r="E170" s="10">
        <v>5.4480000000000001E-2</v>
      </c>
      <c r="F170" s="17">
        <v>1.2999999999999999E-2</v>
      </c>
      <c r="G170" s="15">
        <v>71.900000000000006</v>
      </c>
      <c r="H170" s="18">
        <v>287.50997999999998</v>
      </c>
      <c r="I170" s="18">
        <v>4.4835599999999998</v>
      </c>
      <c r="J170" s="11" t="s">
        <v>204</v>
      </c>
      <c r="K170" s="23"/>
    </row>
    <row r="171" spans="1:11">
      <c r="A171" s="11" t="s">
        <v>147</v>
      </c>
      <c r="B171" s="11" t="s">
        <v>116</v>
      </c>
      <c r="C171" s="11" t="s">
        <v>340</v>
      </c>
      <c r="D171" s="10">
        <v>1.9439999999999999E-2</v>
      </c>
      <c r="E171" s="10">
        <v>-3.8000000000000002E-4</v>
      </c>
      <c r="F171" s="17">
        <v>1.7999999999999999E-2</v>
      </c>
      <c r="G171" s="15">
        <v>78.3</v>
      </c>
      <c r="H171" s="18">
        <v>296.93961999999999</v>
      </c>
      <c r="I171" s="18">
        <v>3.3908700000000001</v>
      </c>
      <c r="J171" s="11" t="s">
        <v>205</v>
      </c>
      <c r="K171" s="23"/>
    </row>
    <row r="172" spans="1:11">
      <c r="A172" s="1" t="s">
        <v>148</v>
      </c>
      <c r="B172" s="1" t="s">
        <v>114</v>
      </c>
      <c r="C172" s="1" t="s">
        <v>340</v>
      </c>
      <c r="D172" s="5">
        <v>8.0274099999999997</v>
      </c>
      <c r="E172" s="5">
        <v>1.601E-2</v>
      </c>
      <c r="F172" s="25">
        <v>4.0000000000000001E-3</v>
      </c>
      <c r="G172" s="19">
        <v>46.7</v>
      </c>
      <c r="H172" s="21">
        <v>311.37218000000001</v>
      </c>
      <c r="I172" s="21">
        <v>13.40235</v>
      </c>
      <c r="J172" s="1" t="s">
        <v>204</v>
      </c>
      <c r="K172" s="48"/>
    </row>
  </sheetData>
  <sortState ref="N154:N215">
    <sortCondition ref="N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 Table 1</vt:lpstr>
      <vt:lpstr>Appendix Table 2</vt:lpstr>
    </vt:vector>
  </TitlesOfParts>
  <Company>Imperial College London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 Pereira, Patric</dc:creator>
  <cp:lastModifiedBy>Simoes Pereira, Patric</cp:lastModifiedBy>
  <dcterms:created xsi:type="dcterms:W3CDTF">2018-07-02T18:04:18Z</dcterms:created>
  <dcterms:modified xsi:type="dcterms:W3CDTF">2019-07-09T11:20:53Z</dcterms:modified>
</cp:coreProperties>
</file>